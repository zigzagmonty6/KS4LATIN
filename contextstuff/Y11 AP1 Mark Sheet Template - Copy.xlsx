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https://futureacademies.sharepoint.com/sites/CurriculumCentre323/Shared Documents/Curriculum Centre - Sharepoint/Secondary Curriculum/Classics/04. KS4/5. Assessment Resources/Y11 AP1/"/>
    </mc:Choice>
  </mc:AlternateContent>
  <xr:revisionPtr revIDLastSave="455" documentId="11_BF6E23FB255FBB7C925E50F3FE634A7CCA7AEE5E" xr6:coauthVersionLast="47" xr6:coauthVersionMax="47" xr10:uidLastSave="{EC1CA5C5-B524-4432-8095-1900F7422AFB}"/>
  <bookViews>
    <workbookView xWindow="28680" yWindow="-8085" windowWidth="21840" windowHeight="13020" activeTab="2" xr2:uid="{00000000-000D-0000-FFFF-FFFF00000000}"/>
  </bookViews>
  <sheets>
    <sheet name="Mark Sheet" sheetId="1" r:id="rId1"/>
    <sheet name="Grade Boundaries" sheetId="2" state="hidden" r:id="rId2"/>
    <sheet name="NEW grade boundar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1" l="1"/>
  <c r="AG13" i="1" s="1"/>
  <c r="AF12" i="1"/>
  <c r="AG12" i="1" s="1"/>
  <c r="AF11" i="1"/>
  <c r="AG11" i="1" s="1"/>
  <c r="AF10" i="1"/>
  <c r="AG10" i="1" s="1"/>
  <c r="AF9" i="1"/>
  <c r="AG9" i="1" s="1"/>
  <c r="AF8" i="1"/>
  <c r="AG8" i="1" s="1"/>
  <c r="AF7" i="1"/>
  <c r="AG7" i="1" s="1"/>
  <c r="AF6" i="1"/>
  <c r="AG6" i="1" s="1"/>
  <c r="AF5" i="1"/>
  <c r="AG5" i="1" s="1"/>
  <c r="AD5" i="1"/>
  <c r="AD6" i="1"/>
  <c r="AD7" i="1"/>
  <c r="AD8" i="1"/>
  <c r="AD9" i="1"/>
  <c r="AD10" i="1"/>
  <c r="AD11" i="1"/>
  <c r="AD12" i="1"/>
  <c r="AD13" i="1"/>
  <c r="S44" i="1" l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H4" i="3"/>
  <c r="I4" i="3" s="1"/>
  <c r="H5" i="3"/>
  <c r="H6" i="3"/>
  <c r="I6" i="3" s="1"/>
  <c r="H7" i="3"/>
  <c r="H8" i="3"/>
  <c r="H9" i="3"/>
  <c r="H10" i="3"/>
  <c r="H11" i="3"/>
  <c r="H3" i="3"/>
  <c r="I11" i="3"/>
  <c r="I7" i="3"/>
  <c r="I9" i="3"/>
  <c r="I10" i="3"/>
  <c r="I3" i="3"/>
  <c r="F4" i="3"/>
  <c r="F5" i="3"/>
  <c r="F6" i="3"/>
  <c r="F7" i="3"/>
  <c r="F8" i="3"/>
  <c r="F9" i="3"/>
  <c r="F10" i="3"/>
  <c r="F11" i="3"/>
  <c r="F3" i="3"/>
  <c r="I8" i="3"/>
  <c r="I5" i="3"/>
  <c r="M5" i="2"/>
  <c r="M6" i="2"/>
  <c r="M7" i="2"/>
  <c r="M8" i="2"/>
  <c r="M9" i="2"/>
  <c r="M10" i="2"/>
  <c r="M11" i="2"/>
  <c r="M12" i="2"/>
  <c r="M4" i="2"/>
  <c r="L5" i="2"/>
  <c r="L6" i="2"/>
  <c r="L7" i="2"/>
  <c r="L8" i="2"/>
  <c r="L9" i="2"/>
  <c r="L10" i="2"/>
  <c r="L11" i="2"/>
  <c r="L12" i="2"/>
  <c r="L4" i="2"/>
  <c r="H5" i="2"/>
  <c r="H6" i="2"/>
  <c r="H7" i="2"/>
  <c r="H8" i="2"/>
  <c r="H9" i="2"/>
  <c r="H10" i="2"/>
  <c r="H11" i="2"/>
  <c r="H12" i="2"/>
  <c r="H4" i="2"/>
  <c r="C5" i="2"/>
  <c r="K5" i="2" s="1"/>
  <c r="C6" i="2"/>
  <c r="K6" i="2" s="1"/>
  <c r="C7" i="2"/>
  <c r="K7" i="2" s="1"/>
  <c r="C8" i="2"/>
  <c r="K8" i="2" s="1"/>
  <c r="C9" i="2"/>
  <c r="K9" i="2" s="1"/>
  <c r="C10" i="2"/>
  <c r="K10" i="2" s="1"/>
  <c r="C11" i="2"/>
  <c r="K11" i="2" s="1"/>
  <c r="C12" i="2"/>
  <c r="K12" i="2" s="1"/>
  <c r="C4" i="2"/>
  <c r="K4" i="2" s="1"/>
  <c r="G5" i="2"/>
  <c r="G6" i="2"/>
  <c r="G7" i="2"/>
  <c r="G8" i="2"/>
  <c r="G9" i="2"/>
  <c r="G10" i="2"/>
  <c r="G11" i="2"/>
  <c r="G12" i="2"/>
  <c r="G4" i="2"/>
  <c r="O27" i="1" l="1"/>
  <c r="P27" i="1" s="1"/>
  <c r="G27" i="1"/>
  <c r="H27" i="1" s="1"/>
  <c r="T27" i="1" l="1"/>
  <c r="U27" i="1" s="1"/>
  <c r="O44" i="1"/>
  <c r="P44" i="1" s="1"/>
  <c r="G44" i="1"/>
  <c r="H44" i="1" s="1"/>
  <c r="O43" i="1"/>
  <c r="P43" i="1" s="1"/>
  <c r="G43" i="1"/>
  <c r="H43" i="1" s="1"/>
  <c r="O42" i="1"/>
  <c r="P42" i="1" s="1"/>
  <c r="G42" i="1"/>
  <c r="O41" i="1"/>
  <c r="P41" i="1" s="1"/>
  <c r="G41" i="1"/>
  <c r="O40" i="1"/>
  <c r="P40" i="1" s="1"/>
  <c r="G40" i="1"/>
  <c r="O39" i="1"/>
  <c r="P39" i="1" s="1"/>
  <c r="G39" i="1"/>
  <c r="H39" i="1" s="1"/>
  <c r="O38" i="1"/>
  <c r="P38" i="1" s="1"/>
  <c r="G38" i="1"/>
  <c r="H38" i="1" s="1"/>
  <c r="O37" i="1"/>
  <c r="P37" i="1" s="1"/>
  <c r="G37" i="1"/>
  <c r="O36" i="1"/>
  <c r="P36" i="1" s="1"/>
  <c r="G36" i="1"/>
  <c r="O35" i="1"/>
  <c r="P35" i="1" s="1"/>
  <c r="G35" i="1"/>
  <c r="O34" i="1"/>
  <c r="P34" i="1" s="1"/>
  <c r="G34" i="1"/>
  <c r="O33" i="1"/>
  <c r="P33" i="1" s="1"/>
  <c r="G33" i="1"/>
  <c r="H33" i="1" s="1"/>
  <c r="O32" i="1"/>
  <c r="P32" i="1" s="1"/>
  <c r="G32" i="1"/>
  <c r="H32" i="1" s="1"/>
  <c r="O31" i="1"/>
  <c r="P31" i="1" s="1"/>
  <c r="G31" i="1"/>
  <c r="O30" i="1"/>
  <c r="P30" i="1" s="1"/>
  <c r="G30" i="1"/>
  <c r="O29" i="1"/>
  <c r="P29" i="1" s="1"/>
  <c r="G29" i="1"/>
  <c r="O28" i="1"/>
  <c r="P28" i="1" s="1"/>
  <c r="G28" i="1"/>
  <c r="O26" i="1"/>
  <c r="P26" i="1" s="1"/>
  <c r="G26" i="1"/>
  <c r="H26" i="1" s="1"/>
  <c r="O25" i="1"/>
  <c r="P25" i="1" s="1"/>
  <c r="G25" i="1"/>
  <c r="H25" i="1" s="1"/>
  <c r="O24" i="1"/>
  <c r="P24" i="1" s="1"/>
  <c r="G24" i="1"/>
  <c r="O23" i="1"/>
  <c r="P23" i="1" s="1"/>
  <c r="G23" i="1"/>
  <c r="O22" i="1"/>
  <c r="P22" i="1" s="1"/>
  <c r="G22" i="1"/>
  <c r="O21" i="1"/>
  <c r="P21" i="1" s="1"/>
  <c r="G21" i="1"/>
  <c r="O20" i="1"/>
  <c r="P20" i="1" s="1"/>
  <c r="G20" i="1"/>
  <c r="H20" i="1" s="1"/>
  <c r="O19" i="1"/>
  <c r="P19" i="1" s="1"/>
  <c r="G19" i="1"/>
  <c r="H19" i="1" s="1"/>
  <c r="O18" i="1"/>
  <c r="P18" i="1" s="1"/>
  <c r="G18" i="1"/>
  <c r="O17" i="1"/>
  <c r="P17" i="1" s="1"/>
  <c r="G17" i="1"/>
  <c r="O16" i="1"/>
  <c r="P16" i="1" s="1"/>
  <c r="G16" i="1"/>
  <c r="H16" i="1" s="1"/>
  <c r="O15" i="1"/>
  <c r="P15" i="1" s="1"/>
  <c r="G15" i="1"/>
  <c r="O14" i="1"/>
  <c r="P14" i="1" s="1"/>
  <c r="G14" i="1"/>
  <c r="H14" i="1" s="1"/>
  <c r="O13" i="1"/>
  <c r="P13" i="1" s="1"/>
  <c r="G13" i="1"/>
  <c r="H13" i="1" s="1"/>
  <c r="O12" i="1"/>
  <c r="P12" i="1" s="1"/>
  <c r="G12" i="1"/>
  <c r="O11" i="1"/>
  <c r="P11" i="1" s="1"/>
  <c r="G11" i="1"/>
  <c r="O10" i="1"/>
  <c r="P10" i="1" s="1"/>
  <c r="G10" i="1"/>
  <c r="O9" i="1"/>
  <c r="P9" i="1" s="1"/>
  <c r="G9" i="1"/>
  <c r="O8" i="1"/>
  <c r="P8" i="1" s="1"/>
  <c r="G8" i="1"/>
  <c r="H8" i="1" s="1"/>
  <c r="O7" i="1"/>
  <c r="P7" i="1" s="1"/>
  <c r="G7" i="1"/>
  <c r="H7" i="1" s="1"/>
  <c r="O6" i="1"/>
  <c r="P6" i="1" s="1"/>
  <c r="G6" i="1"/>
  <c r="O5" i="1"/>
  <c r="P5" i="1" s="1"/>
  <c r="G5" i="1"/>
  <c r="O4" i="1"/>
  <c r="P4" i="1" s="1"/>
  <c r="G4" i="1"/>
  <c r="T5" i="1" l="1"/>
  <c r="U5" i="1" s="1"/>
  <c r="H5" i="1"/>
  <c r="T6" i="1"/>
  <c r="U6" i="1" s="1"/>
  <c r="H6" i="1"/>
  <c r="T9" i="1"/>
  <c r="U9" i="1" s="1"/>
  <c r="H9" i="1"/>
  <c r="T10" i="1"/>
  <c r="U10" i="1" s="1"/>
  <c r="H10" i="1"/>
  <c r="T11" i="1"/>
  <c r="U11" i="1" s="1"/>
  <c r="H11" i="1"/>
  <c r="T12" i="1"/>
  <c r="U12" i="1" s="1"/>
  <c r="H12" i="1"/>
  <c r="T15" i="1"/>
  <c r="U15" i="1" s="1"/>
  <c r="H15" i="1"/>
  <c r="T17" i="1"/>
  <c r="U17" i="1" s="1"/>
  <c r="H17" i="1"/>
  <c r="T18" i="1"/>
  <c r="U18" i="1" s="1"/>
  <c r="H18" i="1"/>
  <c r="T21" i="1"/>
  <c r="U21" i="1" s="1"/>
  <c r="H21" i="1"/>
  <c r="T22" i="1"/>
  <c r="U22" i="1" s="1"/>
  <c r="H22" i="1"/>
  <c r="T23" i="1"/>
  <c r="U23" i="1" s="1"/>
  <c r="H23" i="1"/>
  <c r="T24" i="1"/>
  <c r="U24" i="1" s="1"/>
  <c r="H24" i="1"/>
  <c r="T28" i="1"/>
  <c r="U28" i="1" s="1"/>
  <c r="H28" i="1"/>
  <c r="T29" i="1"/>
  <c r="U29" i="1" s="1"/>
  <c r="H29" i="1"/>
  <c r="T30" i="1"/>
  <c r="U30" i="1" s="1"/>
  <c r="H30" i="1"/>
  <c r="T31" i="1"/>
  <c r="U31" i="1" s="1"/>
  <c r="H31" i="1"/>
  <c r="T34" i="1"/>
  <c r="U34" i="1" s="1"/>
  <c r="H34" i="1"/>
  <c r="T35" i="1"/>
  <c r="U35" i="1" s="1"/>
  <c r="H35" i="1"/>
  <c r="T36" i="1"/>
  <c r="U36" i="1" s="1"/>
  <c r="H36" i="1"/>
  <c r="T37" i="1"/>
  <c r="U37" i="1" s="1"/>
  <c r="H37" i="1"/>
  <c r="T40" i="1"/>
  <c r="U40" i="1" s="1"/>
  <c r="H40" i="1"/>
  <c r="T41" i="1"/>
  <c r="U41" i="1" s="1"/>
  <c r="H41" i="1"/>
  <c r="T42" i="1"/>
  <c r="U42" i="1" s="1"/>
  <c r="H42" i="1"/>
  <c r="T4" i="1"/>
  <c r="U4" i="1" s="1"/>
  <c r="H4" i="1"/>
  <c r="T43" i="1"/>
  <c r="U43" i="1" s="1"/>
  <c r="T7" i="1"/>
  <c r="U7" i="1" s="1"/>
  <c r="T13" i="1"/>
  <c r="U13" i="1" s="1"/>
  <c r="T19" i="1"/>
  <c r="U19" i="1" s="1"/>
  <c r="T25" i="1"/>
  <c r="U25" i="1" s="1"/>
  <c r="T32" i="1"/>
  <c r="U32" i="1" s="1"/>
  <c r="T38" i="1"/>
  <c r="U38" i="1" s="1"/>
  <c r="T44" i="1"/>
  <c r="U44" i="1" s="1"/>
  <c r="T16" i="1"/>
  <c r="U16" i="1" s="1"/>
  <c r="T8" i="1"/>
  <c r="U8" i="1" s="1"/>
  <c r="T14" i="1"/>
  <c r="U14" i="1" s="1"/>
  <c r="T20" i="1"/>
  <c r="U20" i="1" s="1"/>
  <c r="T26" i="1"/>
  <c r="U26" i="1" s="1"/>
  <c r="T33" i="1"/>
  <c r="U33" i="1" s="1"/>
  <c r="T39" i="1"/>
  <c r="U39" i="1" s="1"/>
</calcChain>
</file>

<file path=xl/sharedStrings.xml><?xml version="1.0" encoding="utf-8"?>
<sst xmlns="http://schemas.openxmlformats.org/spreadsheetml/2006/main" count="108" uniqueCount="91">
  <si>
    <t>Y11 Lang AP1</t>
  </si>
  <si>
    <t>Y11 Civ AP1</t>
  </si>
  <si>
    <t>Y11 Lit AP1</t>
  </si>
  <si>
    <t>Y11 AP1 Overall</t>
  </si>
  <si>
    <t>Q1 /20</t>
  </si>
  <si>
    <t>Q2 /35</t>
  </si>
  <si>
    <t>Q3 /35</t>
  </si>
  <si>
    <t>Q5 /10</t>
  </si>
  <si>
    <t>Total /100</t>
  </si>
  <si>
    <t>Grade</t>
  </si>
  <si>
    <t>Q1 /6</t>
  </si>
  <si>
    <t>Q2 /6</t>
  </si>
  <si>
    <t>Q3 /4</t>
  </si>
  <si>
    <t>Q4 /4</t>
  </si>
  <si>
    <t>Q5 /8</t>
  </si>
  <si>
    <t>Q6 /12</t>
  </si>
  <si>
    <t>Total /40</t>
  </si>
  <si>
    <t>Q1 /5</t>
  </si>
  <si>
    <t>Q2 /12</t>
  </si>
  <si>
    <t>Total /17</t>
  </si>
  <si>
    <t>Overall /140</t>
  </si>
  <si>
    <t>Predicted grade</t>
  </si>
  <si>
    <t>Target grade</t>
  </si>
  <si>
    <t>Adeniji</t>
  </si>
  <si>
    <t>Nailah</t>
  </si>
  <si>
    <t>OVERALL (140)</t>
  </si>
  <si>
    <t>%</t>
  </si>
  <si>
    <t>CIVILISATION</t>
  </si>
  <si>
    <t>/40</t>
  </si>
  <si>
    <t>Aguiar Gonzaga dos Anjos</t>
  </si>
  <si>
    <t>Gustavo</t>
  </si>
  <si>
    <t>Aguirre</t>
  </si>
  <si>
    <t>Imanol</t>
  </si>
  <si>
    <t>Ali</t>
  </si>
  <si>
    <t>Hassan</t>
  </si>
  <si>
    <t>Asabor</t>
  </si>
  <si>
    <t>Jaydah</t>
  </si>
  <si>
    <t>Boateng</t>
  </si>
  <si>
    <t>Deborah</t>
  </si>
  <si>
    <t>Bulnes</t>
  </si>
  <si>
    <t>Daniela</t>
  </si>
  <si>
    <t>Campbell</t>
  </si>
  <si>
    <t>Shenay</t>
  </si>
  <si>
    <t>Codrington</t>
  </si>
  <si>
    <t>Sharntey</t>
  </si>
  <si>
    <t>Da Costa Xavier De Carvalho</t>
  </si>
  <si>
    <t>Maria Inês</t>
  </si>
  <si>
    <t>Dunkley</t>
  </si>
  <si>
    <t>Camari</t>
  </si>
  <si>
    <t>Joseph</t>
  </si>
  <si>
    <t>Aniya</t>
  </si>
  <si>
    <t>Kouadia-Gaule</t>
  </si>
  <si>
    <t>Behrane</t>
  </si>
  <si>
    <t>Kourouma</t>
  </si>
  <si>
    <t>Aicha</t>
  </si>
  <si>
    <t>McLeod</t>
  </si>
  <si>
    <t>Xavier</t>
  </si>
  <si>
    <t>Messerschmidt</t>
  </si>
  <si>
    <t>Bea</t>
  </si>
  <si>
    <t>Mohammed</t>
  </si>
  <si>
    <t>Alia</t>
  </si>
  <si>
    <t>Musse</t>
  </si>
  <si>
    <t>Ibti</t>
  </si>
  <si>
    <t>Nelson</t>
  </si>
  <si>
    <t>Courtney</t>
  </si>
  <si>
    <t>Noorzoe</t>
  </si>
  <si>
    <t>Ahmadbilal</t>
  </si>
  <si>
    <t>Orellana Salazar</t>
  </si>
  <si>
    <t>Vianca</t>
  </si>
  <si>
    <t>Phillips</t>
  </si>
  <si>
    <t>Skylah</t>
  </si>
  <si>
    <t>Roshanali</t>
  </si>
  <si>
    <t>Ismiel</t>
  </si>
  <si>
    <t>Rudayna</t>
  </si>
  <si>
    <t>Ryan</t>
  </si>
  <si>
    <t>Eva</t>
  </si>
  <si>
    <t>Silva</t>
  </si>
  <si>
    <t>Barbara</t>
  </si>
  <si>
    <t>Solomon</t>
  </si>
  <si>
    <t>Uel</t>
  </si>
  <si>
    <t>Williams</t>
  </si>
  <si>
    <t>Chloe</t>
  </si>
  <si>
    <t>Y11 AP1 Grade Boundaries</t>
  </si>
  <si>
    <t>LANGUAGE</t>
  </si>
  <si>
    <t>/100</t>
  </si>
  <si>
    <t>Scaled /130</t>
  </si>
  <si>
    <t>Scaled /70</t>
  </si>
  <si>
    <t>OVERALL</t>
  </si>
  <si>
    <t>SCALED /200</t>
  </si>
  <si>
    <t>/140</t>
  </si>
  <si>
    <t>2025 boundaries used for 25-26 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</si>
</sst>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16" fontId="0" fillId="3" borderId="4" xfId="0" applyNumberFormat="1" applyFill="1" applyBorder="1" applyAlignment="1">
      <alignment horizontal="center"/>
    </xf>
    <xf numFmtId="16" fontId="5" fillId="3" borderId="4" xfId="0" applyNumberFormat="1" applyFont="1" applyFill="1" applyBorder="1" applyAlignment="1">
      <alignment horizontal="center" wrapText="1"/>
    </xf>
    <xf numFmtId="16" fontId="0" fillId="3" borderId="5" xfId="0" applyNumberFormat="1" applyFill="1" applyBorder="1" applyAlignment="1">
      <alignment horizontal="center"/>
    </xf>
    <xf numFmtId="0" fontId="0" fillId="0" borderId="3" xfId="0" applyBorder="1"/>
    <xf numFmtId="0" fontId="0" fillId="4" borderId="3" xfId="0" applyFill="1" applyBorder="1"/>
    <xf numFmtId="0" fontId="0" fillId="5" borderId="3" xfId="0" applyFill="1" applyBorder="1"/>
    <xf numFmtId="1" fontId="0" fillId="0" borderId="3" xfId="0" applyNumberFormat="1" applyBorder="1"/>
    <xf numFmtId="0" fontId="2" fillId="0" borderId="3" xfId="0" applyFont="1" applyBorder="1"/>
    <xf numFmtId="0" fontId="0" fillId="0" borderId="0" xfId="0" quotePrefix="1"/>
    <xf numFmtId="9" fontId="0" fillId="0" borderId="0" xfId="1" applyFont="1"/>
    <xf numFmtId="1" fontId="0" fillId="0" borderId="0" xfId="0" applyNumberFormat="1"/>
    <xf numFmtId="9" fontId="0" fillId="0" borderId="0" xfId="0" applyNumberFormat="1"/>
    <xf numFmtId="0" fontId="0" fillId="6" borderId="3" xfId="0" applyFill="1" applyBorder="1"/>
    <xf numFmtId="0" fontId="6" fillId="0" borderId="0" xfId="0" applyFont="1"/>
    <xf numFmtId="0" fontId="0" fillId="3" borderId="2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3" xfId="0" applyFill="1" applyBorder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"/>
  <sheetViews>
    <sheetView topLeftCell="A6" zoomScale="70" zoomScaleNormal="70" workbookViewId="0">
      <selection activeCell="R19" sqref="R19"/>
    </sheetView>
  </sheetViews>
  <sheetFormatPr defaultRowHeight="15" customHeight="1"/>
  <cols>
    <col min="2" max="2" width="27.42578125" customWidth="1"/>
  </cols>
  <sheetData>
    <row r="1" spans="1:33">
      <c r="C1" s="17" t="s">
        <v>0</v>
      </c>
      <c r="D1" s="18"/>
      <c r="E1" s="18"/>
      <c r="F1" s="18"/>
      <c r="G1" s="18"/>
      <c r="H1" s="19"/>
      <c r="I1" s="17" t="s">
        <v>1</v>
      </c>
      <c r="J1" s="18"/>
      <c r="K1" s="18"/>
      <c r="L1" s="18"/>
      <c r="M1" s="18"/>
      <c r="N1" s="18"/>
      <c r="O1" s="18"/>
      <c r="P1" s="19"/>
      <c r="Q1" s="17" t="s">
        <v>2</v>
      </c>
      <c r="R1" s="18"/>
      <c r="S1" s="18"/>
      <c r="T1" s="17" t="s">
        <v>3</v>
      </c>
      <c r="U1" s="18"/>
      <c r="V1" s="18"/>
      <c r="W1" s="18"/>
    </row>
    <row r="2" spans="1:33" ht="24.75"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9</v>
      </c>
      <c r="Q2" s="3" t="s">
        <v>17</v>
      </c>
      <c r="R2" s="3" t="s">
        <v>18</v>
      </c>
      <c r="S2" s="3" t="s">
        <v>19</v>
      </c>
      <c r="T2" s="4" t="s">
        <v>20</v>
      </c>
      <c r="U2" s="3" t="s">
        <v>9</v>
      </c>
      <c r="V2" s="4" t="s">
        <v>21</v>
      </c>
      <c r="W2" s="4" t="s">
        <v>22</v>
      </c>
    </row>
    <row r="3" spans="1:33">
      <c r="B3" s="1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33">
      <c r="A4" s="16" t="s">
        <v>23</v>
      </c>
      <c r="B4" s="16" t="s">
        <v>24</v>
      </c>
      <c r="C4" s="6">
        <v>17</v>
      </c>
      <c r="D4" s="6">
        <v>20</v>
      </c>
      <c r="E4" s="6">
        <v>22</v>
      </c>
      <c r="F4" s="6">
        <v>4</v>
      </c>
      <c r="G4" s="7">
        <f>SUM(C4:F4)</f>
        <v>63</v>
      </c>
      <c r="H4" s="7" t="str">
        <f>IF(G4&gt;=91, "9", IF(G4&gt;=85, "8", IF(G4&gt;=79, "7", IF(G4&gt;=70, "6", IF(G4&gt;=62, "5", IF(G4&gt;=52, "4", IF(G4&gt;=39, "3", IF(G4&gt;=27, "2", IF(G4&gt;=15, "1", "U")))))))))</f>
        <v>5</v>
      </c>
      <c r="I4" s="6">
        <v>6</v>
      </c>
      <c r="J4" s="6">
        <v>6</v>
      </c>
      <c r="K4" s="6">
        <v>3</v>
      </c>
      <c r="L4" s="6">
        <v>7</v>
      </c>
      <c r="M4" s="6">
        <v>3</v>
      </c>
      <c r="N4" s="6">
        <v>8</v>
      </c>
      <c r="O4" s="8">
        <f>SUM(I4:N4)</f>
        <v>33</v>
      </c>
      <c r="P4" s="8" t="str">
        <f>IF(O4&gt;=34, "9", IF(O4&gt;=30, "8", IF(O4&gt;=25, "7", IF(O4&gt;=22, "6", IF(O4&gt;=19, "5", IF(O4&gt;=17, "4", IF(O4&gt;=14, "3", IF(O4&gt;=12, "2", IF(O4&gt;=10, "1", "U")))))))))</f>
        <v>8</v>
      </c>
      <c r="Q4" s="6"/>
      <c r="R4" s="6"/>
      <c r="S4" s="15">
        <f>SUM(Q4:R4)</f>
        <v>0</v>
      </c>
      <c r="T4" s="9">
        <f>SUM(G4+O4)</f>
        <v>96</v>
      </c>
      <c r="U4" s="6" t="str">
        <f>IF(T4&gt;=125, "9", IF(T4&gt;=115, "8", IF(T4&gt;=104, "7", IF(T4&gt;=92, "6", IF(T4&gt;=81, "5", IF(T4&gt;=69, "4", IF(T4&gt;=53, "3", IF(T4&gt;=39, "2", IF(T4&gt;=25, "1", "U")))))))))</f>
        <v>6</v>
      </c>
      <c r="V4" s="6"/>
      <c r="W4" s="6"/>
      <c r="Y4" t="s">
        <v>25</v>
      </c>
      <c r="Z4" s="11" t="s">
        <v>26</v>
      </c>
      <c r="AB4" t="s">
        <v>27</v>
      </c>
      <c r="AC4" s="11" t="s">
        <v>28</v>
      </c>
      <c r="AD4" t="s">
        <v>26</v>
      </c>
      <c r="AF4" t="s">
        <v>25</v>
      </c>
      <c r="AG4" t="s">
        <v>26</v>
      </c>
    </row>
    <row r="5" spans="1:33">
      <c r="A5" s="16" t="s">
        <v>29</v>
      </c>
      <c r="B5" s="16" t="s">
        <v>30</v>
      </c>
      <c r="C5" s="6">
        <v>15</v>
      </c>
      <c r="D5" s="6">
        <v>9</v>
      </c>
      <c r="E5" s="6">
        <v>16</v>
      </c>
      <c r="F5" s="6">
        <v>6</v>
      </c>
      <c r="G5" s="7">
        <f t="shared" ref="G5:G27" si="0">SUM(C5:F5)</f>
        <v>46</v>
      </c>
      <c r="H5" s="7" t="str">
        <f t="shared" ref="H5:H44" si="1">IF(G5&gt;=91, "9", IF(G5&gt;=85, "8", IF(G5&gt;=79, "7", IF(G5&gt;=70, "6", IF(G5&gt;=62, "5", IF(G5&gt;=52, "4", IF(G5&gt;=39, "3", IF(G5&gt;=27, "2", IF(G5&gt;=15, "1", "U")))))))))</f>
        <v>3</v>
      </c>
      <c r="I5" s="6">
        <v>3</v>
      </c>
      <c r="J5" s="6">
        <v>3</v>
      </c>
      <c r="K5" s="6">
        <v>3</v>
      </c>
      <c r="L5" s="6">
        <v>3</v>
      </c>
      <c r="M5" s="6">
        <v>2</v>
      </c>
      <c r="N5" s="6">
        <v>8</v>
      </c>
      <c r="O5" s="8">
        <f t="shared" ref="O5:O27" si="2">SUM(I5:N5)</f>
        <v>22</v>
      </c>
      <c r="P5" s="8" t="str">
        <f t="shared" ref="P5:P44" si="3">IF(O5&gt;=34, "9", IF(O5&gt;=30, "8", IF(O5&gt;=25, "7", IF(O5&gt;=22, "6", IF(O5&gt;=19, "5", IF(O5&gt;=17, "4", IF(O5&gt;=14, "3", IF(O5&gt;=12, "2", IF(O5&gt;=10, "1", "U")))))))))</f>
        <v>6</v>
      </c>
      <c r="Q5" s="6"/>
      <c r="R5" s="6"/>
      <c r="S5" s="15">
        <f>SUM(Q5:R5)</f>
        <v>0</v>
      </c>
      <c r="T5" s="9">
        <f>SUM(G5+O5)</f>
        <v>68</v>
      </c>
      <c r="U5" s="6" t="str">
        <f t="shared" ref="U5:U44" si="4">IF(T5&gt;=125, "9", IF(T5&gt;=115, "8", IF(T5&gt;=104, "7", IF(T5&gt;=92, "6", IF(T5&gt;=81, "5", IF(T5&gt;=69, "4", IF(T5&gt;=53, "3", IF(T5&gt;=39, "2", IF(T5&gt;=25, "1", "U")))))))))</f>
        <v>3</v>
      </c>
      <c r="V5" s="6"/>
      <c r="W5" s="6"/>
      <c r="Y5">
        <v>125</v>
      </c>
      <c r="Z5">
        <v>0.8928571428571429</v>
      </c>
      <c r="AB5">
        <v>9</v>
      </c>
      <c r="AC5">
        <v>34</v>
      </c>
      <c r="AD5" s="12">
        <f>SUM(AC5/40)</f>
        <v>0.85</v>
      </c>
      <c r="AF5">
        <f>SUM(Z5,AC5)</f>
        <v>34.892857142857146</v>
      </c>
      <c r="AG5" s="12">
        <f>SUM(AF5/140)</f>
        <v>0.24923469387755104</v>
      </c>
    </row>
    <row r="6" spans="1:33">
      <c r="A6" s="16" t="s">
        <v>31</v>
      </c>
      <c r="B6" s="16" t="s">
        <v>32</v>
      </c>
      <c r="C6" s="6">
        <v>17</v>
      </c>
      <c r="D6" s="6">
        <v>10</v>
      </c>
      <c r="E6" s="6">
        <v>20</v>
      </c>
      <c r="F6" s="6">
        <v>2</v>
      </c>
      <c r="G6" s="7">
        <f t="shared" si="0"/>
        <v>49</v>
      </c>
      <c r="H6" s="7" t="str">
        <f t="shared" si="1"/>
        <v>3</v>
      </c>
      <c r="I6" s="6">
        <v>4</v>
      </c>
      <c r="J6" s="6">
        <v>6</v>
      </c>
      <c r="K6" s="6">
        <v>2</v>
      </c>
      <c r="L6" s="6">
        <v>8</v>
      </c>
      <c r="M6" s="6">
        <v>1</v>
      </c>
      <c r="N6" s="6">
        <v>7</v>
      </c>
      <c r="O6" s="8">
        <f t="shared" si="2"/>
        <v>28</v>
      </c>
      <c r="P6" s="8" t="str">
        <f t="shared" si="3"/>
        <v>7</v>
      </c>
      <c r="Q6" s="6"/>
      <c r="R6" s="6"/>
      <c r="S6" s="15">
        <f>SUM(Q6:R6)</f>
        <v>0</v>
      </c>
      <c r="T6" s="9">
        <f>SUM(G6+O6)</f>
        <v>77</v>
      </c>
      <c r="U6" s="6" t="str">
        <f t="shared" si="4"/>
        <v>4</v>
      </c>
      <c r="V6" s="6"/>
      <c r="W6" s="6"/>
      <c r="Y6">
        <v>115</v>
      </c>
      <c r="Z6">
        <v>0.8214285714285714</v>
      </c>
      <c r="AB6">
        <v>8</v>
      </c>
      <c r="AC6">
        <v>30</v>
      </c>
      <c r="AD6" s="12">
        <f t="shared" ref="AD6:AD13" si="5">SUM(AC6/40)</f>
        <v>0.75</v>
      </c>
      <c r="AF6">
        <f>SUM(Z6,AC6)</f>
        <v>30.821428571428573</v>
      </c>
      <c r="AG6" s="12">
        <f t="shared" ref="AG6:AG13" si="6">SUM(AF6/140)</f>
        <v>0.2201530612244898</v>
      </c>
    </row>
    <row r="7" spans="1:33">
      <c r="A7" s="16" t="s">
        <v>33</v>
      </c>
      <c r="B7" s="16" t="s">
        <v>34</v>
      </c>
      <c r="C7" s="6">
        <v>4</v>
      </c>
      <c r="D7" s="6">
        <v>4</v>
      </c>
      <c r="E7" s="6">
        <v>11</v>
      </c>
      <c r="F7" s="6">
        <v>0</v>
      </c>
      <c r="G7" s="7">
        <f t="shared" si="0"/>
        <v>19</v>
      </c>
      <c r="H7" s="7" t="str">
        <f t="shared" si="1"/>
        <v>1</v>
      </c>
      <c r="I7" s="6">
        <v>3</v>
      </c>
      <c r="J7" s="6">
        <v>1</v>
      </c>
      <c r="K7" s="6">
        <v>0</v>
      </c>
      <c r="L7" s="6">
        <v>3</v>
      </c>
      <c r="M7" s="6">
        <v>1</v>
      </c>
      <c r="N7" s="6">
        <v>5</v>
      </c>
      <c r="O7" s="8">
        <f t="shared" si="2"/>
        <v>13</v>
      </c>
      <c r="P7" s="8" t="str">
        <f t="shared" si="3"/>
        <v>2</v>
      </c>
      <c r="Q7" s="6"/>
      <c r="R7" s="6"/>
      <c r="S7" s="15">
        <f>SUM(Q7:R7)</f>
        <v>0</v>
      </c>
      <c r="T7" s="9">
        <f>SUM(G7+O7)</f>
        <v>32</v>
      </c>
      <c r="U7" s="6" t="str">
        <f t="shared" si="4"/>
        <v>1</v>
      </c>
      <c r="V7" s="6"/>
      <c r="W7" s="6"/>
      <c r="Y7">
        <v>104</v>
      </c>
      <c r="Z7">
        <v>0.74285714285714288</v>
      </c>
      <c r="AB7">
        <v>7</v>
      </c>
      <c r="AC7">
        <v>25</v>
      </c>
      <c r="AD7" s="12">
        <f t="shared" si="5"/>
        <v>0.625</v>
      </c>
      <c r="AF7">
        <f>SUM(Z7,AC7)</f>
        <v>25.742857142857144</v>
      </c>
      <c r="AG7" s="12">
        <f t="shared" si="6"/>
        <v>0.18387755102040818</v>
      </c>
    </row>
    <row r="8" spans="1:33">
      <c r="A8" s="16" t="s">
        <v>35</v>
      </c>
      <c r="B8" s="16" t="s">
        <v>36</v>
      </c>
      <c r="C8" s="6">
        <v>11</v>
      </c>
      <c r="D8" s="6">
        <v>14</v>
      </c>
      <c r="E8" s="6">
        <v>15</v>
      </c>
      <c r="F8" s="6">
        <v>4</v>
      </c>
      <c r="G8" s="7">
        <f t="shared" si="0"/>
        <v>44</v>
      </c>
      <c r="H8" s="7" t="str">
        <f t="shared" si="1"/>
        <v>3</v>
      </c>
      <c r="I8" s="6">
        <v>4</v>
      </c>
      <c r="J8" s="6">
        <v>6</v>
      </c>
      <c r="K8" s="6">
        <v>4</v>
      </c>
      <c r="L8" s="6">
        <v>6</v>
      </c>
      <c r="M8" s="6">
        <v>0</v>
      </c>
      <c r="N8" s="6">
        <v>7</v>
      </c>
      <c r="O8" s="8">
        <f t="shared" si="2"/>
        <v>27</v>
      </c>
      <c r="P8" s="8" t="str">
        <f t="shared" si="3"/>
        <v>7</v>
      </c>
      <c r="Q8" s="6"/>
      <c r="R8" s="6"/>
      <c r="S8" s="15">
        <f>SUM(Q8:R8)</f>
        <v>0</v>
      </c>
      <c r="T8" s="9">
        <f>SUM(G8+O8)</f>
        <v>71</v>
      </c>
      <c r="U8" s="6" t="str">
        <f t="shared" si="4"/>
        <v>4</v>
      </c>
      <c r="V8" s="6"/>
      <c r="W8" s="6"/>
      <c r="Y8">
        <v>92</v>
      </c>
      <c r="Z8">
        <v>0.65714285714285714</v>
      </c>
      <c r="AB8">
        <v>6</v>
      </c>
      <c r="AC8">
        <v>22</v>
      </c>
      <c r="AD8" s="12">
        <f t="shared" si="5"/>
        <v>0.55000000000000004</v>
      </c>
      <c r="AF8">
        <f>SUM(Z8,AC8)</f>
        <v>22.657142857142858</v>
      </c>
      <c r="AG8" s="12">
        <f t="shared" si="6"/>
        <v>0.16183673469387755</v>
      </c>
    </row>
    <row r="9" spans="1:33">
      <c r="A9" s="16" t="s">
        <v>37</v>
      </c>
      <c r="B9" s="16" t="s">
        <v>38</v>
      </c>
      <c r="C9" s="6">
        <v>20</v>
      </c>
      <c r="D9" s="6">
        <v>27</v>
      </c>
      <c r="E9" s="6">
        <v>29</v>
      </c>
      <c r="F9" s="6">
        <v>7</v>
      </c>
      <c r="G9" s="7">
        <f t="shared" si="0"/>
        <v>83</v>
      </c>
      <c r="H9" s="7" t="str">
        <f t="shared" si="1"/>
        <v>7</v>
      </c>
      <c r="I9" s="6">
        <v>6</v>
      </c>
      <c r="J9" s="6">
        <v>6</v>
      </c>
      <c r="K9" s="6">
        <v>2</v>
      </c>
      <c r="L9" s="6">
        <v>8</v>
      </c>
      <c r="M9" s="6">
        <v>4</v>
      </c>
      <c r="N9" s="6">
        <v>10</v>
      </c>
      <c r="O9" s="8">
        <f t="shared" si="2"/>
        <v>36</v>
      </c>
      <c r="P9" s="8" t="str">
        <f t="shared" si="3"/>
        <v>9</v>
      </c>
      <c r="Q9" s="6"/>
      <c r="R9" s="6"/>
      <c r="S9" s="15">
        <f>SUM(Q9:R9)</f>
        <v>0</v>
      </c>
      <c r="T9" s="9">
        <f>SUM(G9+O9)</f>
        <v>119</v>
      </c>
      <c r="U9" s="6" t="str">
        <f t="shared" si="4"/>
        <v>8</v>
      </c>
      <c r="V9" s="6"/>
      <c r="W9" s="6"/>
      <c r="Y9">
        <v>81</v>
      </c>
      <c r="Z9">
        <v>0.57857142857142863</v>
      </c>
      <c r="AB9">
        <v>5</v>
      </c>
      <c r="AC9">
        <v>19</v>
      </c>
      <c r="AD9" s="12">
        <f t="shared" si="5"/>
        <v>0.47499999999999998</v>
      </c>
      <c r="AF9">
        <f>SUM(Z9,AC9)</f>
        <v>19.578571428571429</v>
      </c>
      <c r="AG9" s="12">
        <f t="shared" si="6"/>
        <v>0.13984693877551022</v>
      </c>
    </row>
    <row r="10" spans="1:33">
      <c r="A10" s="16" t="s">
        <v>39</v>
      </c>
      <c r="B10" s="16" t="s">
        <v>40</v>
      </c>
      <c r="C10" s="6">
        <v>18</v>
      </c>
      <c r="D10" s="6">
        <v>14</v>
      </c>
      <c r="E10" s="6">
        <v>17</v>
      </c>
      <c r="F10" s="6">
        <v>3</v>
      </c>
      <c r="G10" s="7">
        <f t="shared" si="0"/>
        <v>52</v>
      </c>
      <c r="H10" s="7" t="str">
        <f t="shared" si="1"/>
        <v>4</v>
      </c>
      <c r="I10" s="6">
        <v>3</v>
      </c>
      <c r="J10" s="6">
        <v>6</v>
      </c>
      <c r="K10" s="6">
        <v>1</v>
      </c>
      <c r="L10" s="6">
        <v>6</v>
      </c>
      <c r="M10" s="6">
        <v>2</v>
      </c>
      <c r="N10" s="6">
        <v>3</v>
      </c>
      <c r="O10" s="8">
        <f t="shared" si="2"/>
        <v>21</v>
      </c>
      <c r="P10" s="8" t="str">
        <f t="shared" si="3"/>
        <v>5</v>
      </c>
      <c r="Q10" s="6"/>
      <c r="R10" s="6"/>
      <c r="S10" s="15">
        <f>SUM(Q10:R10)</f>
        <v>0</v>
      </c>
      <c r="T10" s="9">
        <f>SUM(G10+O10)</f>
        <v>73</v>
      </c>
      <c r="U10" s="6" t="str">
        <f t="shared" si="4"/>
        <v>4</v>
      </c>
      <c r="V10" s="6"/>
      <c r="W10" s="6"/>
      <c r="Y10">
        <v>69</v>
      </c>
      <c r="Z10">
        <v>0.49285714285714288</v>
      </c>
      <c r="AB10">
        <v>4</v>
      </c>
      <c r="AC10">
        <v>17</v>
      </c>
      <c r="AD10" s="12">
        <f t="shared" si="5"/>
        <v>0.42499999999999999</v>
      </c>
      <c r="AF10">
        <f>SUM(Z10,AC10)</f>
        <v>17.492857142857144</v>
      </c>
      <c r="AG10" s="12">
        <f t="shared" si="6"/>
        <v>0.12494897959183675</v>
      </c>
    </row>
    <row r="11" spans="1:33">
      <c r="A11" s="16" t="s">
        <v>41</v>
      </c>
      <c r="B11" s="16" t="s">
        <v>42</v>
      </c>
      <c r="C11" s="6">
        <v>19</v>
      </c>
      <c r="D11" s="6">
        <v>24</v>
      </c>
      <c r="E11" s="6">
        <v>26</v>
      </c>
      <c r="F11" s="6">
        <v>6</v>
      </c>
      <c r="G11" s="7">
        <f t="shared" si="0"/>
        <v>75</v>
      </c>
      <c r="H11" s="7" t="str">
        <f t="shared" si="1"/>
        <v>6</v>
      </c>
      <c r="I11" s="6">
        <v>4</v>
      </c>
      <c r="J11" s="6">
        <v>5</v>
      </c>
      <c r="K11" s="6">
        <v>4</v>
      </c>
      <c r="L11" s="6">
        <v>8</v>
      </c>
      <c r="M11" s="6">
        <v>1</v>
      </c>
      <c r="N11" s="6">
        <v>6</v>
      </c>
      <c r="O11" s="8">
        <f t="shared" si="2"/>
        <v>28</v>
      </c>
      <c r="P11" s="8" t="str">
        <f t="shared" si="3"/>
        <v>7</v>
      </c>
      <c r="Q11" s="6"/>
      <c r="R11" s="6"/>
      <c r="S11" s="15">
        <f>SUM(Q11:R11)</f>
        <v>0</v>
      </c>
      <c r="T11" s="9">
        <f>SUM(G11+O11)</f>
        <v>103</v>
      </c>
      <c r="U11" s="6" t="str">
        <f t="shared" si="4"/>
        <v>6</v>
      </c>
      <c r="V11" s="6"/>
      <c r="W11" s="6"/>
      <c r="Y11">
        <v>53</v>
      </c>
      <c r="Z11">
        <v>0.37857142857142856</v>
      </c>
      <c r="AB11">
        <v>3</v>
      </c>
      <c r="AC11">
        <v>14</v>
      </c>
      <c r="AD11" s="12">
        <f t="shared" si="5"/>
        <v>0.35</v>
      </c>
      <c r="AF11">
        <f>SUM(Z11,AC11)</f>
        <v>14.378571428571428</v>
      </c>
      <c r="AG11" s="12">
        <f t="shared" si="6"/>
        <v>0.10270408163265306</v>
      </c>
    </row>
    <row r="12" spans="1:33">
      <c r="A12" s="16" t="s">
        <v>43</v>
      </c>
      <c r="B12" s="16" t="s">
        <v>44</v>
      </c>
      <c r="C12" s="6">
        <v>17</v>
      </c>
      <c r="D12" s="6">
        <v>18</v>
      </c>
      <c r="E12" s="6">
        <v>22</v>
      </c>
      <c r="F12" s="6">
        <v>7</v>
      </c>
      <c r="G12" s="7">
        <f t="shared" si="0"/>
        <v>64</v>
      </c>
      <c r="H12" s="7" t="str">
        <f t="shared" si="1"/>
        <v>5</v>
      </c>
      <c r="I12" s="6">
        <v>5</v>
      </c>
      <c r="J12" s="6">
        <v>6</v>
      </c>
      <c r="K12" s="6">
        <v>4</v>
      </c>
      <c r="L12" s="6">
        <v>6</v>
      </c>
      <c r="M12" s="6">
        <v>0</v>
      </c>
      <c r="N12" s="6">
        <v>5</v>
      </c>
      <c r="O12" s="8">
        <f t="shared" si="2"/>
        <v>26</v>
      </c>
      <c r="P12" s="8" t="str">
        <f t="shared" si="3"/>
        <v>7</v>
      </c>
      <c r="Q12" s="6"/>
      <c r="R12" s="6"/>
      <c r="S12" s="15">
        <f>SUM(Q12:R12)</f>
        <v>0</v>
      </c>
      <c r="T12" s="9">
        <f>SUM(G12+O12)</f>
        <v>90</v>
      </c>
      <c r="U12" s="6" t="str">
        <f t="shared" si="4"/>
        <v>5</v>
      </c>
      <c r="V12" s="6"/>
      <c r="W12" s="6"/>
      <c r="Y12">
        <v>39</v>
      </c>
      <c r="Z12">
        <v>0.27857142857142858</v>
      </c>
      <c r="AB12">
        <v>2</v>
      </c>
      <c r="AC12">
        <v>12</v>
      </c>
      <c r="AD12" s="12">
        <f t="shared" si="5"/>
        <v>0.3</v>
      </c>
      <c r="AF12">
        <f>SUM(Z12,AC12)</f>
        <v>12.278571428571428</v>
      </c>
      <c r="AG12" s="12">
        <f t="shared" si="6"/>
        <v>8.7704081632653058E-2</v>
      </c>
    </row>
    <row r="13" spans="1:33">
      <c r="A13" s="16" t="s">
        <v>45</v>
      </c>
      <c r="B13" s="16" t="s">
        <v>46</v>
      </c>
      <c r="C13" s="6">
        <v>12</v>
      </c>
      <c r="D13" s="6">
        <v>13</v>
      </c>
      <c r="E13" s="6">
        <v>2</v>
      </c>
      <c r="F13" s="6">
        <v>3</v>
      </c>
      <c r="G13" s="7">
        <f t="shared" si="0"/>
        <v>30</v>
      </c>
      <c r="H13" s="7" t="str">
        <f t="shared" si="1"/>
        <v>2</v>
      </c>
      <c r="I13" s="6">
        <v>1</v>
      </c>
      <c r="J13" s="6">
        <v>2</v>
      </c>
      <c r="K13" s="6">
        <v>1</v>
      </c>
      <c r="L13" s="6">
        <v>1</v>
      </c>
      <c r="M13" s="6">
        <v>0</v>
      </c>
      <c r="N13" s="6">
        <v>0</v>
      </c>
      <c r="O13" s="8">
        <f t="shared" si="2"/>
        <v>5</v>
      </c>
      <c r="P13" s="8" t="str">
        <f t="shared" si="3"/>
        <v>U</v>
      </c>
      <c r="Q13" s="6"/>
      <c r="R13" s="6"/>
      <c r="S13" s="15">
        <f>SUM(Q13:R13)</f>
        <v>0</v>
      </c>
      <c r="T13" s="9">
        <f>SUM(G13+O13)</f>
        <v>35</v>
      </c>
      <c r="U13" s="6" t="str">
        <f t="shared" si="4"/>
        <v>1</v>
      </c>
      <c r="V13" s="6"/>
      <c r="W13" s="6"/>
      <c r="Y13">
        <v>25</v>
      </c>
      <c r="Z13">
        <v>0.17857142857142858</v>
      </c>
      <c r="AB13">
        <v>1</v>
      </c>
      <c r="AC13">
        <v>10</v>
      </c>
      <c r="AD13" s="12">
        <f t="shared" si="5"/>
        <v>0.25</v>
      </c>
      <c r="AF13">
        <f>SUM(Z13,AC13)</f>
        <v>10.178571428571429</v>
      </c>
      <c r="AG13" s="12">
        <f t="shared" si="6"/>
        <v>7.2704081632653059E-2</v>
      </c>
    </row>
    <row r="14" spans="1:33">
      <c r="A14" s="16" t="s">
        <v>47</v>
      </c>
      <c r="B14" s="16" t="s">
        <v>48</v>
      </c>
      <c r="C14" s="6">
        <v>7</v>
      </c>
      <c r="D14" s="6">
        <v>9</v>
      </c>
      <c r="E14" s="6">
        <v>8</v>
      </c>
      <c r="F14" s="6">
        <v>0</v>
      </c>
      <c r="G14" s="7">
        <f t="shared" si="0"/>
        <v>24</v>
      </c>
      <c r="H14" s="7" t="str">
        <f t="shared" si="1"/>
        <v>1</v>
      </c>
      <c r="I14" s="6">
        <v>1</v>
      </c>
      <c r="J14" s="6">
        <v>4</v>
      </c>
      <c r="K14" s="6">
        <v>2</v>
      </c>
      <c r="L14" s="6">
        <v>6</v>
      </c>
      <c r="M14" s="6">
        <v>1</v>
      </c>
      <c r="N14" s="6">
        <v>7</v>
      </c>
      <c r="O14" s="8">
        <f t="shared" si="2"/>
        <v>21</v>
      </c>
      <c r="P14" s="8" t="str">
        <f t="shared" si="3"/>
        <v>5</v>
      </c>
      <c r="Q14" s="6"/>
      <c r="R14" s="6"/>
      <c r="S14" s="15">
        <f>SUM(Q14:R14)</f>
        <v>0</v>
      </c>
      <c r="T14" s="9">
        <f>SUM(G14+O14)</f>
        <v>45</v>
      </c>
      <c r="U14" s="6" t="str">
        <f t="shared" si="4"/>
        <v>2</v>
      </c>
      <c r="V14" s="6"/>
      <c r="W14" s="6"/>
    </row>
    <row r="15" spans="1:33">
      <c r="A15" s="16" t="s">
        <v>49</v>
      </c>
      <c r="B15" s="16" t="s">
        <v>50</v>
      </c>
      <c r="C15" s="6">
        <v>7</v>
      </c>
      <c r="D15" s="6">
        <v>0</v>
      </c>
      <c r="E15" s="6">
        <v>8</v>
      </c>
      <c r="F15" s="6">
        <v>0</v>
      </c>
      <c r="G15" s="7">
        <f t="shared" si="0"/>
        <v>15</v>
      </c>
      <c r="H15" s="7" t="str">
        <f t="shared" si="1"/>
        <v>1</v>
      </c>
      <c r="I15" s="6">
        <v>2</v>
      </c>
      <c r="J15" s="6">
        <v>1</v>
      </c>
      <c r="K15" s="6">
        <v>3</v>
      </c>
      <c r="L15" s="6">
        <v>5</v>
      </c>
      <c r="M15" s="6">
        <v>1</v>
      </c>
      <c r="N15" s="6">
        <v>1</v>
      </c>
      <c r="O15" s="8">
        <f t="shared" si="2"/>
        <v>13</v>
      </c>
      <c r="P15" s="8" t="str">
        <f t="shared" si="3"/>
        <v>2</v>
      </c>
      <c r="Q15" s="6"/>
      <c r="R15" s="6"/>
      <c r="S15" s="15">
        <f>SUM(Q15:R15)</f>
        <v>0</v>
      </c>
      <c r="T15" s="9">
        <f>SUM(G15+O15)</f>
        <v>28</v>
      </c>
      <c r="U15" s="6" t="str">
        <f t="shared" si="4"/>
        <v>1</v>
      </c>
      <c r="V15" s="6"/>
      <c r="W15" s="6"/>
    </row>
    <row r="16" spans="1:33">
      <c r="A16" s="16" t="s">
        <v>51</v>
      </c>
      <c r="B16" s="16" t="s">
        <v>52</v>
      </c>
      <c r="C16" s="6">
        <v>19</v>
      </c>
      <c r="D16" s="6">
        <v>28</v>
      </c>
      <c r="E16" s="6">
        <v>24</v>
      </c>
      <c r="F16" s="6">
        <v>7</v>
      </c>
      <c r="G16" s="7">
        <f t="shared" si="0"/>
        <v>78</v>
      </c>
      <c r="H16" s="7" t="str">
        <f t="shared" si="1"/>
        <v>6</v>
      </c>
      <c r="I16" s="6">
        <v>6</v>
      </c>
      <c r="J16" s="6">
        <v>6</v>
      </c>
      <c r="K16" s="6">
        <v>4</v>
      </c>
      <c r="L16" s="6">
        <v>8</v>
      </c>
      <c r="M16" s="6">
        <v>1</v>
      </c>
      <c r="N16" s="6">
        <v>11</v>
      </c>
      <c r="O16" s="8">
        <f t="shared" si="2"/>
        <v>36</v>
      </c>
      <c r="P16" s="8" t="str">
        <f t="shared" si="3"/>
        <v>9</v>
      </c>
      <c r="Q16" s="6"/>
      <c r="R16" s="6"/>
      <c r="S16" s="15">
        <f>SUM(Q16:R16)</f>
        <v>0</v>
      </c>
      <c r="T16" s="9">
        <f>SUM(G16+O16)</f>
        <v>114</v>
      </c>
      <c r="U16" s="6" t="str">
        <f t="shared" si="4"/>
        <v>7</v>
      </c>
      <c r="V16" s="6"/>
      <c r="W16" s="6"/>
    </row>
    <row r="17" spans="1:23">
      <c r="A17" s="16" t="s">
        <v>53</v>
      </c>
      <c r="B17" s="16" t="s">
        <v>54</v>
      </c>
      <c r="C17" s="6">
        <v>19</v>
      </c>
      <c r="D17" s="6">
        <v>27</v>
      </c>
      <c r="E17" s="6">
        <v>23</v>
      </c>
      <c r="F17" s="6">
        <v>8</v>
      </c>
      <c r="G17" s="7">
        <f t="shared" si="0"/>
        <v>77</v>
      </c>
      <c r="H17" s="7" t="str">
        <f t="shared" si="1"/>
        <v>6</v>
      </c>
      <c r="I17" s="6">
        <v>5</v>
      </c>
      <c r="J17" s="6">
        <v>6</v>
      </c>
      <c r="K17" s="6">
        <v>3</v>
      </c>
      <c r="L17" s="6">
        <v>8</v>
      </c>
      <c r="M17" s="6">
        <v>1</v>
      </c>
      <c r="N17" s="6">
        <v>6</v>
      </c>
      <c r="O17" s="8">
        <f t="shared" si="2"/>
        <v>29</v>
      </c>
      <c r="P17" s="8" t="str">
        <f t="shared" si="3"/>
        <v>7</v>
      </c>
      <c r="Q17" s="6"/>
      <c r="R17" s="6"/>
      <c r="S17" s="15">
        <f>SUM(Q17:R17)</f>
        <v>0</v>
      </c>
      <c r="T17" s="9">
        <f>SUM(G17+O17)</f>
        <v>106</v>
      </c>
      <c r="U17" s="6" t="str">
        <f t="shared" si="4"/>
        <v>7</v>
      </c>
      <c r="V17" s="6"/>
      <c r="W17" s="6"/>
    </row>
    <row r="18" spans="1:23">
      <c r="A18" s="16" t="s">
        <v>55</v>
      </c>
      <c r="B18" s="16" t="s">
        <v>56</v>
      </c>
      <c r="C18" s="6">
        <v>13</v>
      </c>
      <c r="D18" s="6">
        <v>18</v>
      </c>
      <c r="E18" s="6">
        <v>18</v>
      </c>
      <c r="F18" s="6">
        <v>1</v>
      </c>
      <c r="G18" s="7">
        <f t="shared" si="0"/>
        <v>50</v>
      </c>
      <c r="H18" s="7" t="str">
        <f t="shared" si="1"/>
        <v>3</v>
      </c>
      <c r="I18" s="6">
        <v>4</v>
      </c>
      <c r="J18" s="6">
        <v>6</v>
      </c>
      <c r="K18" s="6">
        <v>4</v>
      </c>
      <c r="L18" s="6">
        <v>6</v>
      </c>
      <c r="M18" s="6">
        <v>0</v>
      </c>
      <c r="N18" s="6">
        <v>8</v>
      </c>
      <c r="O18" s="8">
        <f t="shared" si="2"/>
        <v>28</v>
      </c>
      <c r="P18" s="8" t="str">
        <f t="shared" si="3"/>
        <v>7</v>
      </c>
      <c r="Q18" s="6"/>
      <c r="R18" s="6"/>
      <c r="S18" s="15">
        <f>SUM(Q18:R18)</f>
        <v>0</v>
      </c>
      <c r="T18" s="9">
        <f>SUM(G18+O18)</f>
        <v>78</v>
      </c>
      <c r="U18" s="6" t="str">
        <f t="shared" si="4"/>
        <v>4</v>
      </c>
      <c r="V18" s="6"/>
      <c r="W18" s="6"/>
    </row>
    <row r="19" spans="1:23">
      <c r="A19" s="16" t="s">
        <v>57</v>
      </c>
      <c r="B19" s="16" t="s">
        <v>58</v>
      </c>
      <c r="C19" s="6">
        <v>13</v>
      </c>
      <c r="D19" s="6">
        <v>9</v>
      </c>
      <c r="E19" s="6">
        <v>18</v>
      </c>
      <c r="F19" s="6">
        <v>1</v>
      </c>
      <c r="G19" s="7">
        <f t="shared" si="0"/>
        <v>41</v>
      </c>
      <c r="H19" s="7" t="str">
        <f t="shared" si="1"/>
        <v>3</v>
      </c>
      <c r="I19" s="6">
        <v>6</v>
      </c>
      <c r="J19" s="6">
        <v>6</v>
      </c>
      <c r="K19" s="6">
        <v>4</v>
      </c>
      <c r="L19" s="6">
        <v>8</v>
      </c>
      <c r="M19" s="6">
        <v>3</v>
      </c>
      <c r="N19" s="6">
        <v>8</v>
      </c>
      <c r="O19" s="8">
        <f t="shared" si="2"/>
        <v>35</v>
      </c>
      <c r="P19" s="8" t="str">
        <f t="shared" si="3"/>
        <v>9</v>
      </c>
      <c r="Q19" s="6"/>
      <c r="R19" s="6"/>
      <c r="S19" s="15">
        <f>SUM(Q19:R19)</f>
        <v>0</v>
      </c>
      <c r="T19" s="9">
        <f>SUM(G19+O19)</f>
        <v>76</v>
      </c>
      <c r="U19" s="6" t="str">
        <f t="shared" si="4"/>
        <v>4</v>
      </c>
      <c r="V19" s="6"/>
      <c r="W19" s="6"/>
    </row>
    <row r="20" spans="1:23">
      <c r="A20" s="16" t="s">
        <v>59</v>
      </c>
      <c r="B20" s="16" t="s">
        <v>60</v>
      </c>
      <c r="C20" s="6">
        <v>20</v>
      </c>
      <c r="D20" s="6">
        <v>27</v>
      </c>
      <c r="E20" s="6">
        <v>28</v>
      </c>
      <c r="F20" s="6">
        <v>8</v>
      </c>
      <c r="G20" s="7">
        <f t="shared" si="0"/>
        <v>83</v>
      </c>
      <c r="H20" s="7" t="str">
        <f t="shared" si="1"/>
        <v>7</v>
      </c>
      <c r="I20" s="6">
        <v>4</v>
      </c>
      <c r="J20" s="6">
        <v>6</v>
      </c>
      <c r="K20" s="6">
        <v>4</v>
      </c>
      <c r="L20" s="6">
        <v>8</v>
      </c>
      <c r="M20" s="6">
        <v>0</v>
      </c>
      <c r="N20" s="6">
        <v>7</v>
      </c>
      <c r="O20" s="8">
        <f t="shared" si="2"/>
        <v>29</v>
      </c>
      <c r="P20" s="8" t="str">
        <f t="shared" si="3"/>
        <v>7</v>
      </c>
      <c r="Q20" s="6"/>
      <c r="R20" s="6"/>
      <c r="S20" s="15">
        <f>SUM(Q20:R20)</f>
        <v>0</v>
      </c>
      <c r="T20" s="9">
        <f>SUM(G20+O20)</f>
        <v>112</v>
      </c>
      <c r="U20" s="6" t="str">
        <f t="shared" si="4"/>
        <v>7</v>
      </c>
      <c r="V20" s="6"/>
      <c r="W20" s="6"/>
    </row>
    <row r="21" spans="1:23">
      <c r="A21" s="16" t="s">
        <v>61</v>
      </c>
      <c r="B21" s="16" t="s">
        <v>62</v>
      </c>
      <c r="C21" s="6">
        <v>13</v>
      </c>
      <c r="D21" s="6">
        <v>7</v>
      </c>
      <c r="E21" s="6">
        <v>8</v>
      </c>
      <c r="F21" s="6">
        <v>4</v>
      </c>
      <c r="G21" s="7">
        <f t="shared" si="0"/>
        <v>32</v>
      </c>
      <c r="H21" s="7" t="str">
        <f t="shared" si="1"/>
        <v>2</v>
      </c>
      <c r="I21" s="6">
        <v>2</v>
      </c>
      <c r="J21" s="6">
        <v>1</v>
      </c>
      <c r="K21" s="6">
        <v>3</v>
      </c>
      <c r="L21" s="6">
        <v>6</v>
      </c>
      <c r="M21" s="6">
        <v>1</v>
      </c>
      <c r="N21" s="6">
        <v>3</v>
      </c>
      <c r="O21" s="8">
        <f t="shared" si="2"/>
        <v>16</v>
      </c>
      <c r="P21" s="8" t="str">
        <f t="shared" si="3"/>
        <v>3</v>
      </c>
      <c r="Q21" s="6"/>
      <c r="R21" s="6"/>
      <c r="S21" s="15">
        <f>SUM(Q21:R21)</f>
        <v>0</v>
      </c>
      <c r="T21" s="9">
        <f>SUM(G21+O21)</f>
        <v>48</v>
      </c>
      <c r="U21" s="6" t="str">
        <f t="shared" si="4"/>
        <v>2</v>
      </c>
      <c r="V21" s="6"/>
      <c r="W21" s="6"/>
    </row>
    <row r="22" spans="1:23">
      <c r="A22" s="16" t="s">
        <v>63</v>
      </c>
      <c r="B22" s="16" t="s">
        <v>64</v>
      </c>
      <c r="C22" s="6">
        <v>11</v>
      </c>
      <c r="D22" s="6">
        <v>4</v>
      </c>
      <c r="E22" s="6">
        <v>9</v>
      </c>
      <c r="F22" s="6">
        <v>1</v>
      </c>
      <c r="G22" s="7">
        <f t="shared" si="0"/>
        <v>25</v>
      </c>
      <c r="H22" s="7" t="str">
        <f t="shared" si="1"/>
        <v>1</v>
      </c>
      <c r="I22" s="6">
        <v>3</v>
      </c>
      <c r="J22" s="6">
        <v>2</v>
      </c>
      <c r="K22" s="6">
        <v>1</v>
      </c>
      <c r="L22" s="6">
        <v>1</v>
      </c>
      <c r="M22" s="6">
        <v>1</v>
      </c>
      <c r="N22" s="6">
        <v>4</v>
      </c>
      <c r="O22" s="8">
        <f t="shared" si="2"/>
        <v>12</v>
      </c>
      <c r="P22" s="8" t="str">
        <f t="shared" si="3"/>
        <v>2</v>
      </c>
      <c r="Q22" s="6"/>
      <c r="R22" s="6"/>
      <c r="S22" s="15">
        <f>SUM(Q22:R22)</f>
        <v>0</v>
      </c>
      <c r="T22" s="9">
        <f>SUM(G22+O22)</f>
        <v>37</v>
      </c>
      <c r="U22" s="6" t="str">
        <f t="shared" si="4"/>
        <v>1</v>
      </c>
      <c r="V22" s="6"/>
      <c r="W22" s="6"/>
    </row>
    <row r="23" spans="1:23">
      <c r="A23" s="16" t="s">
        <v>65</v>
      </c>
      <c r="B23" s="16" t="s">
        <v>66</v>
      </c>
      <c r="C23" s="6">
        <v>13</v>
      </c>
      <c r="D23" s="6">
        <v>8</v>
      </c>
      <c r="E23" s="6">
        <v>6</v>
      </c>
      <c r="F23" s="6">
        <v>3</v>
      </c>
      <c r="G23" s="7">
        <f t="shared" si="0"/>
        <v>30</v>
      </c>
      <c r="H23" s="7" t="str">
        <f t="shared" si="1"/>
        <v>2</v>
      </c>
      <c r="I23" s="6">
        <v>3</v>
      </c>
      <c r="J23" s="6">
        <v>3</v>
      </c>
      <c r="K23" s="6">
        <v>1</v>
      </c>
      <c r="L23" s="6">
        <v>6</v>
      </c>
      <c r="M23" s="6">
        <v>1</v>
      </c>
      <c r="N23" s="6">
        <v>4</v>
      </c>
      <c r="O23" s="8">
        <f t="shared" si="2"/>
        <v>18</v>
      </c>
      <c r="P23" s="8" t="str">
        <f t="shared" si="3"/>
        <v>4</v>
      </c>
      <c r="Q23" s="6"/>
      <c r="R23" s="6"/>
      <c r="S23" s="15">
        <f>SUM(Q23:R23)</f>
        <v>0</v>
      </c>
      <c r="T23" s="9">
        <f>SUM(G23+O23)</f>
        <v>48</v>
      </c>
      <c r="U23" s="6" t="str">
        <f t="shared" si="4"/>
        <v>2</v>
      </c>
      <c r="V23" s="6"/>
      <c r="W23" s="6"/>
    </row>
    <row r="24" spans="1:23">
      <c r="A24" s="16" t="s">
        <v>67</v>
      </c>
      <c r="B24" s="16" t="s">
        <v>68</v>
      </c>
      <c r="C24" s="6">
        <v>20</v>
      </c>
      <c r="D24" s="6">
        <v>24</v>
      </c>
      <c r="E24" s="6">
        <v>19</v>
      </c>
      <c r="F24" s="6">
        <v>2</v>
      </c>
      <c r="G24" s="7">
        <f t="shared" si="0"/>
        <v>65</v>
      </c>
      <c r="H24" s="7" t="str">
        <f t="shared" si="1"/>
        <v>5</v>
      </c>
      <c r="I24" s="6">
        <v>3</v>
      </c>
      <c r="J24" s="6">
        <v>4</v>
      </c>
      <c r="K24" s="6">
        <v>3</v>
      </c>
      <c r="L24" s="6">
        <v>8</v>
      </c>
      <c r="M24" s="6">
        <v>2</v>
      </c>
      <c r="N24" s="6">
        <v>6</v>
      </c>
      <c r="O24" s="8">
        <f t="shared" si="2"/>
        <v>26</v>
      </c>
      <c r="P24" s="8" t="str">
        <f t="shared" si="3"/>
        <v>7</v>
      </c>
      <c r="Q24" s="6"/>
      <c r="R24" s="6"/>
      <c r="S24" s="15">
        <f>SUM(Q24:R24)</f>
        <v>0</v>
      </c>
      <c r="T24" s="9">
        <f>SUM(G24+O24)</f>
        <v>91</v>
      </c>
      <c r="U24" s="6" t="str">
        <f t="shared" si="4"/>
        <v>5</v>
      </c>
      <c r="V24" s="6"/>
      <c r="W24" s="6"/>
    </row>
    <row r="25" spans="1:23">
      <c r="A25" s="16" t="s">
        <v>69</v>
      </c>
      <c r="B25" s="16" t="s">
        <v>70</v>
      </c>
      <c r="C25" s="6">
        <v>6</v>
      </c>
      <c r="D25" s="6">
        <v>0</v>
      </c>
      <c r="E25" s="6">
        <v>3</v>
      </c>
      <c r="F25" s="6">
        <v>0</v>
      </c>
      <c r="G25" s="7">
        <f t="shared" si="0"/>
        <v>9</v>
      </c>
      <c r="H25" s="7" t="str">
        <f t="shared" si="1"/>
        <v>U</v>
      </c>
      <c r="I25" s="6">
        <v>1</v>
      </c>
      <c r="J25" s="6">
        <v>1</v>
      </c>
      <c r="K25" s="6">
        <v>0</v>
      </c>
      <c r="L25" s="6">
        <v>2</v>
      </c>
      <c r="M25" s="6">
        <v>1</v>
      </c>
      <c r="N25" s="6">
        <v>1</v>
      </c>
      <c r="O25" s="8">
        <f t="shared" si="2"/>
        <v>6</v>
      </c>
      <c r="P25" s="8" t="str">
        <f t="shared" si="3"/>
        <v>U</v>
      </c>
      <c r="Q25" s="6"/>
      <c r="R25" s="6"/>
      <c r="S25" s="15">
        <f>SUM(Q25:R25)</f>
        <v>0</v>
      </c>
      <c r="T25" s="9">
        <f>SUM(G25+O25)</f>
        <v>15</v>
      </c>
      <c r="U25" s="6" t="str">
        <f t="shared" si="4"/>
        <v>U</v>
      </c>
      <c r="V25" s="6"/>
      <c r="W25" s="6"/>
    </row>
    <row r="26" spans="1:23">
      <c r="A26" s="16" t="s">
        <v>71</v>
      </c>
      <c r="B26" s="16" t="s">
        <v>72</v>
      </c>
      <c r="C26" s="6">
        <v>19</v>
      </c>
      <c r="D26" s="6">
        <v>24</v>
      </c>
      <c r="E26" s="6">
        <v>30</v>
      </c>
      <c r="F26" s="6">
        <v>8</v>
      </c>
      <c r="G26" s="7">
        <f t="shared" si="0"/>
        <v>81</v>
      </c>
      <c r="H26" s="7" t="str">
        <f t="shared" si="1"/>
        <v>7</v>
      </c>
      <c r="I26" s="6">
        <v>5</v>
      </c>
      <c r="J26" s="6">
        <v>5</v>
      </c>
      <c r="K26" s="6">
        <v>4</v>
      </c>
      <c r="L26" s="6">
        <v>7</v>
      </c>
      <c r="M26" s="6">
        <v>1</v>
      </c>
      <c r="N26" s="6">
        <v>4</v>
      </c>
      <c r="O26" s="8">
        <f t="shared" si="2"/>
        <v>26</v>
      </c>
      <c r="P26" s="8" t="str">
        <f t="shared" si="3"/>
        <v>7</v>
      </c>
      <c r="Q26" s="6"/>
      <c r="R26" s="6"/>
      <c r="S26" s="15">
        <f>SUM(Q26:R26)</f>
        <v>0</v>
      </c>
      <c r="T26" s="9">
        <f>SUM(G26+O26)</f>
        <v>107</v>
      </c>
      <c r="U26" s="6" t="str">
        <f t="shared" si="4"/>
        <v>7</v>
      </c>
      <c r="V26" s="6"/>
      <c r="W26" s="6"/>
    </row>
    <row r="27" spans="1:23">
      <c r="A27" s="16" t="s">
        <v>71</v>
      </c>
      <c r="B27" s="16" t="s">
        <v>73</v>
      </c>
      <c r="C27" s="6">
        <v>8</v>
      </c>
      <c r="D27" s="6">
        <v>8</v>
      </c>
      <c r="E27" s="6">
        <v>11</v>
      </c>
      <c r="F27" s="6">
        <v>3</v>
      </c>
      <c r="G27" s="7">
        <f t="shared" si="0"/>
        <v>30</v>
      </c>
      <c r="H27" s="7" t="str">
        <f t="shared" si="1"/>
        <v>2</v>
      </c>
      <c r="I27" s="6">
        <v>6</v>
      </c>
      <c r="J27" s="6">
        <v>6</v>
      </c>
      <c r="K27" s="6">
        <v>4</v>
      </c>
      <c r="L27" s="6">
        <v>8</v>
      </c>
      <c r="M27" s="6">
        <v>3</v>
      </c>
      <c r="N27" s="6">
        <v>5</v>
      </c>
      <c r="O27" s="8">
        <f t="shared" si="2"/>
        <v>32</v>
      </c>
      <c r="P27" s="8" t="str">
        <f t="shared" si="3"/>
        <v>8</v>
      </c>
      <c r="Q27" s="6"/>
      <c r="R27" s="6"/>
      <c r="S27" s="15">
        <f>SUM(Q27:R27)</f>
        <v>0</v>
      </c>
      <c r="T27" s="9">
        <f>SUM(G27+O27)</f>
        <v>62</v>
      </c>
      <c r="U27" s="6" t="str">
        <f t="shared" si="4"/>
        <v>3</v>
      </c>
      <c r="V27" s="6"/>
      <c r="W27" s="6"/>
    </row>
    <row r="28" spans="1:23">
      <c r="A28" s="16" t="s">
        <v>74</v>
      </c>
      <c r="B28" s="16" t="s">
        <v>75</v>
      </c>
      <c r="C28" s="6">
        <v>17</v>
      </c>
      <c r="D28" s="6">
        <v>19</v>
      </c>
      <c r="E28" s="6">
        <v>20</v>
      </c>
      <c r="F28" s="6">
        <v>6</v>
      </c>
      <c r="G28" s="7">
        <f t="shared" ref="G28:G39" si="7">SUM(C28:F28)</f>
        <v>62</v>
      </c>
      <c r="H28" s="7" t="str">
        <f t="shared" si="1"/>
        <v>5</v>
      </c>
      <c r="I28" s="6">
        <v>4</v>
      </c>
      <c r="J28" s="6">
        <v>2</v>
      </c>
      <c r="K28" s="6">
        <v>3</v>
      </c>
      <c r="L28" s="6">
        <v>1</v>
      </c>
      <c r="M28" s="6">
        <v>0</v>
      </c>
      <c r="N28" s="6">
        <v>3</v>
      </c>
      <c r="O28" s="8">
        <f t="shared" ref="O28:O44" si="8">SUM(I28:N28)</f>
        <v>13</v>
      </c>
      <c r="P28" s="8" t="str">
        <f t="shared" si="3"/>
        <v>2</v>
      </c>
      <c r="Q28" s="6"/>
      <c r="R28" s="6"/>
      <c r="S28" s="15">
        <f>SUM(Q28:R28)</f>
        <v>0</v>
      </c>
      <c r="T28" s="9">
        <f>SUM(G28+O28)</f>
        <v>75</v>
      </c>
      <c r="U28" s="6" t="str">
        <f t="shared" si="4"/>
        <v>4</v>
      </c>
      <c r="V28" s="10"/>
      <c r="W28" s="6"/>
    </row>
    <row r="29" spans="1:23">
      <c r="A29" s="16" t="s">
        <v>76</v>
      </c>
      <c r="B29" s="16" t="s">
        <v>77</v>
      </c>
      <c r="C29" s="6">
        <v>12</v>
      </c>
      <c r="D29" s="6">
        <v>11</v>
      </c>
      <c r="E29" s="6">
        <v>12</v>
      </c>
      <c r="F29" s="6">
        <v>0</v>
      </c>
      <c r="G29" s="7">
        <f t="shared" si="7"/>
        <v>35</v>
      </c>
      <c r="H29" s="7" t="str">
        <f t="shared" si="1"/>
        <v>2</v>
      </c>
      <c r="I29" s="6">
        <v>4</v>
      </c>
      <c r="J29" s="6">
        <v>6</v>
      </c>
      <c r="K29" s="6">
        <v>3</v>
      </c>
      <c r="L29" s="6">
        <v>8</v>
      </c>
      <c r="M29" s="6">
        <v>2</v>
      </c>
      <c r="N29" s="6">
        <v>4</v>
      </c>
      <c r="O29" s="8">
        <f t="shared" si="8"/>
        <v>27</v>
      </c>
      <c r="P29" s="8" t="str">
        <f t="shared" si="3"/>
        <v>7</v>
      </c>
      <c r="Q29" s="6"/>
      <c r="R29" s="6"/>
      <c r="S29" s="15">
        <f>SUM(Q29:R29)</f>
        <v>0</v>
      </c>
      <c r="T29" s="9">
        <f>SUM(G29+O29)</f>
        <v>62</v>
      </c>
      <c r="U29" s="6" t="str">
        <f t="shared" si="4"/>
        <v>3</v>
      </c>
      <c r="V29" s="6"/>
      <c r="W29" s="6"/>
    </row>
    <row r="30" spans="1:23">
      <c r="A30" s="16" t="s">
        <v>78</v>
      </c>
      <c r="B30" s="16" t="s">
        <v>79</v>
      </c>
      <c r="C30" s="6">
        <v>15</v>
      </c>
      <c r="D30" s="6">
        <v>12</v>
      </c>
      <c r="E30" s="6">
        <v>15</v>
      </c>
      <c r="F30" s="6">
        <v>0</v>
      </c>
      <c r="G30" s="7">
        <f t="shared" si="7"/>
        <v>42</v>
      </c>
      <c r="H30" s="7" t="str">
        <f t="shared" si="1"/>
        <v>3</v>
      </c>
      <c r="I30" s="6">
        <v>4</v>
      </c>
      <c r="J30" s="6">
        <v>5</v>
      </c>
      <c r="K30" s="6">
        <v>2</v>
      </c>
      <c r="L30" s="6">
        <v>6</v>
      </c>
      <c r="M30" s="6">
        <v>1</v>
      </c>
      <c r="N30" s="6">
        <v>5</v>
      </c>
      <c r="O30" s="8">
        <f t="shared" si="8"/>
        <v>23</v>
      </c>
      <c r="P30" s="8" t="str">
        <f t="shared" si="3"/>
        <v>6</v>
      </c>
      <c r="Q30" s="6"/>
      <c r="R30" s="6"/>
      <c r="S30" s="15">
        <f>SUM(Q30:R30)</f>
        <v>0</v>
      </c>
      <c r="T30" s="9">
        <f>SUM(G30+O30)</f>
        <v>65</v>
      </c>
      <c r="U30" s="6" t="str">
        <f t="shared" si="4"/>
        <v>3</v>
      </c>
      <c r="V30" s="6"/>
      <c r="W30" s="6"/>
    </row>
    <row r="31" spans="1:23">
      <c r="A31" s="16" t="s">
        <v>80</v>
      </c>
      <c r="B31" s="16" t="s">
        <v>81</v>
      </c>
      <c r="C31" s="6">
        <v>20</v>
      </c>
      <c r="D31" s="6">
        <v>28</v>
      </c>
      <c r="E31" s="6">
        <v>29</v>
      </c>
      <c r="F31" s="6">
        <v>7</v>
      </c>
      <c r="G31" s="7">
        <f t="shared" si="7"/>
        <v>84</v>
      </c>
      <c r="H31" s="7" t="str">
        <f t="shared" si="1"/>
        <v>7</v>
      </c>
      <c r="I31" s="6">
        <v>6</v>
      </c>
      <c r="J31" s="6">
        <v>6</v>
      </c>
      <c r="K31" s="6">
        <v>4</v>
      </c>
      <c r="L31" s="6">
        <v>8</v>
      </c>
      <c r="M31" s="6">
        <v>4</v>
      </c>
      <c r="N31" s="6">
        <v>7</v>
      </c>
      <c r="O31" s="8">
        <f t="shared" si="8"/>
        <v>35</v>
      </c>
      <c r="P31" s="8" t="str">
        <f t="shared" si="3"/>
        <v>9</v>
      </c>
      <c r="Q31" s="6"/>
      <c r="R31" s="6"/>
      <c r="S31" s="15">
        <f>SUM(Q31:R31)</f>
        <v>0</v>
      </c>
      <c r="T31" s="9">
        <f>SUM(G31+O31)</f>
        <v>119</v>
      </c>
      <c r="U31" s="6" t="str">
        <f t="shared" si="4"/>
        <v>8</v>
      </c>
      <c r="V31" s="6"/>
      <c r="W31" s="6"/>
    </row>
    <row r="32" spans="1:23" ht="15.75">
      <c r="B32" s="2"/>
      <c r="C32" s="6"/>
      <c r="D32" s="6"/>
      <c r="E32" s="6"/>
      <c r="F32" s="6"/>
      <c r="G32" s="7">
        <f t="shared" si="7"/>
        <v>0</v>
      </c>
      <c r="H32" s="7" t="str">
        <f t="shared" si="1"/>
        <v>U</v>
      </c>
      <c r="I32" s="6"/>
      <c r="J32" s="6"/>
      <c r="K32" s="6"/>
      <c r="L32" s="6"/>
      <c r="M32" s="6"/>
      <c r="N32" s="6"/>
      <c r="O32" s="8">
        <f t="shared" si="8"/>
        <v>0</v>
      </c>
      <c r="P32" s="8" t="str">
        <f t="shared" si="3"/>
        <v>U</v>
      </c>
      <c r="Q32" s="6"/>
      <c r="R32" s="6"/>
      <c r="S32" s="15">
        <f>SUM(Q32:R32)</f>
        <v>0</v>
      </c>
      <c r="T32" s="9">
        <f>SUM(G32+O32)</f>
        <v>0</v>
      </c>
      <c r="U32" s="6" t="str">
        <f t="shared" si="4"/>
        <v>U</v>
      </c>
      <c r="V32" s="10"/>
      <c r="W32" s="6"/>
    </row>
    <row r="33" spans="2:23" ht="15.75">
      <c r="B33" s="2"/>
      <c r="C33" s="6"/>
      <c r="D33" s="6"/>
      <c r="E33" s="6"/>
      <c r="F33" s="6"/>
      <c r="G33" s="7">
        <f t="shared" si="7"/>
        <v>0</v>
      </c>
      <c r="H33" s="7" t="str">
        <f t="shared" si="1"/>
        <v>U</v>
      </c>
      <c r="I33" s="6"/>
      <c r="J33" s="6"/>
      <c r="K33" s="6"/>
      <c r="L33" s="6"/>
      <c r="M33" s="6"/>
      <c r="N33" s="6"/>
      <c r="O33" s="8">
        <f t="shared" si="8"/>
        <v>0</v>
      </c>
      <c r="P33" s="8" t="str">
        <f t="shared" si="3"/>
        <v>U</v>
      </c>
      <c r="Q33" s="6"/>
      <c r="R33" s="6"/>
      <c r="S33" s="15">
        <f>SUM(Q33:R33)</f>
        <v>0</v>
      </c>
      <c r="T33" s="9">
        <f>SUM(G33+O33)</f>
        <v>0</v>
      </c>
      <c r="U33" s="6" t="str">
        <f t="shared" si="4"/>
        <v>U</v>
      </c>
      <c r="V33" s="6"/>
      <c r="W33" s="6"/>
    </row>
    <row r="34" spans="2:23" ht="15.75">
      <c r="B34" s="2"/>
      <c r="C34" s="6"/>
      <c r="D34" s="6"/>
      <c r="E34" s="6"/>
      <c r="F34" s="6"/>
      <c r="G34" s="7">
        <f t="shared" si="7"/>
        <v>0</v>
      </c>
      <c r="H34" s="7" t="str">
        <f t="shared" si="1"/>
        <v>U</v>
      </c>
      <c r="I34" s="6"/>
      <c r="J34" s="6"/>
      <c r="K34" s="6"/>
      <c r="L34" s="6"/>
      <c r="M34" s="6"/>
      <c r="N34" s="6"/>
      <c r="O34" s="8">
        <f t="shared" si="8"/>
        <v>0</v>
      </c>
      <c r="P34" s="8" t="str">
        <f t="shared" si="3"/>
        <v>U</v>
      </c>
      <c r="Q34" s="6"/>
      <c r="R34" s="6"/>
      <c r="S34" s="15">
        <f>SUM(Q34:R34)</f>
        <v>0</v>
      </c>
      <c r="T34" s="9">
        <f>SUM(G34+O34)</f>
        <v>0</v>
      </c>
      <c r="U34" s="6" t="str">
        <f t="shared" si="4"/>
        <v>U</v>
      </c>
      <c r="V34" s="6"/>
      <c r="W34" s="6"/>
    </row>
    <row r="35" spans="2:23" ht="15.75">
      <c r="B35" s="2"/>
      <c r="C35" s="6"/>
      <c r="D35" s="6"/>
      <c r="E35" s="6"/>
      <c r="F35" s="6"/>
      <c r="G35" s="7">
        <f t="shared" si="7"/>
        <v>0</v>
      </c>
      <c r="H35" s="7" t="str">
        <f t="shared" si="1"/>
        <v>U</v>
      </c>
      <c r="I35" s="6"/>
      <c r="J35" s="6"/>
      <c r="K35" s="6"/>
      <c r="L35" s="6"/>
      <c r="M35" s="6"/>
      <c r="N35" s="6"/>
      <c r="O35" s="8">
        <f t="shared" si="8"/>
        <v>0</v>
      </c>
      <c r="P35" s="8" t="str">
        <f t="shared" si="3"/>
        <v>U</v>
      </c>
      <c r="Q35" s="6"/>
      <c r="R35" s="6"/>
      <c r="S35" s="15">
        <f>SUM(Q35:R35)</f>
        <v>0</v>
      </c>
      <c r="T35" s="9">
        <f>SUM(G35+O35)</f>
        <v>0</v>
      </c>
      <c r="U35" s="6" t="str">
        <f t="shared" si="4"/>
        <v>U</v>
      </c>
      <c r="V35" s="6"/>
      <c r="W35" s="6"/>
    </row>
    <row r="36" spans="2:23" ht="15.75">
      <c r="B36" s="2"/>
      <c r="C36" s="6"/>
      <c r="D36" s="6"/>
      <c r="E36" s="6"/>
      <c r="F36" s="6"/>
      <c r="G36" s="7">
        <f t="shared" si="7"/>
        <v>0</v>
      </c>
      <c r="H36" s="7" t="str">
        <f t="shared" si="1"/>
        <v>U</v>
      </c>
      <c r="I36" s="6"/>
      <c r="J36" s="6"/>
      <c r="K36" s="6"/>
      <c r="L36" s="6"/>
      <c r="M36" s="6"/>
      <c r="N36" s="6"/>
      <c r="O36" s="8">
        <f t="shared" si="8"/>
        <v>0</v>
      </c>
      <c r="P36" s="8" t="str">
        <f t="shared" si="3"/>
        <v>U</v>
      </c>
      <c r="Q36" s="6"/>
      <c r="R36" s="6"/>
      <c r="S36" s="15">
        <f>SUM(Q36:R36)</f>
        <v>0</v>
      </c>
      <c r="T36" s="9">
        <f>SUM(G36+O36)</f>
        <v>0</v>
      </c>
      <c r="U36" s="6" t="str">
        <f t="shared" si="4"/>
        <v>U</v>
      </c>
      <c r="V36" s="10"/>
      <c r="W36" s="6"/>
    </row>
    <row r="37" spans="2:23" ht="15.75">
      <c r="B37" s="2"/>
      <c r="C37" s="6"/>
      <c r="D37" s="6"/>
      <c r="E37" s="6"/>
      <c r="F37" s="6"/>
      <c r="G37" s="7">
        <f t="shared" si="7"/>
        <v>0</v>
      </c>
      <c r="H37" s="7" t="str">
        <f t="shared" si="1"/>
        <v>U</v>
      </c>
      <c r="I37" s="6"/>
      <c r="J37" s="6"/>
      <c r="K37" s="6"/>
      <c r="L37" s="6"/>
      <c r="M37" s="6"/>
      <c r="N37" s="6"/>
      <c r="O37" s="8">
        <f t="shared" si="8"/>
        <v>0</v>
      </c>
      <c r="P37" s="8" t="str">
        <f t="shared" si="3"/>
        <v>U</v>
      </c>
      <c r="Q37" s="6"/>
      <c r="R37" s="6"/>
      <c r="S37" s="15">
        <f>SUM(Q37:R37)</f>
        <v>0</v>
      </c>
      <c r="T37" s="9">
        <f>SUM(G37+O37)</f>
        <v>0</v>
      </c>
      <c r="U37" s="6" t="str">
        <f t="shared" si="4"/>
        <v>U</v>
      </c>
      <c r="V37" s="6"/>
      <c r="W37" s="6"/>
    </row>
    <row r="38" spans="2:23" ht="15.75">
      <c r="B38" s="2"/>
      <c r="C38" s="6"/>
      <c r="D38" s="6"/>
      <c r="E38" s="6"/>
      <c r="F38" s="6"/>
      <c r="G38" s="7">
        <f t="shared" si="7"/>
        <v>0</v>
      </c>
      <c r="H38" s="7" t="str">
        <f t="shared" si="1"/>
        <v>U</v>
      </c>
      <c r="I38" s="6"/>
      <c r="J38" s="6"/>
      <c r="K38" s="6"/>
      <c r="L38" s="6"/>
      <c r="M38" s="6"/>
      <c r="N38" s="6"/>
      <c r="O38" s="8">
        <f t="shared" si="8"/>
        <v>0</v>
      </c>
      <c r="P38" s="8" t="str">
        <f t="shared" si="3"/>
        <v>U</v>
      </c>
      <c r="Q38" s="6"/>
      <c r="R38" s="6"/>
      <c r="S38" s="15">
        <f>SUM(Q38:R38)</f>
        <v>0</v>
      </c>
      <c r="T38" s="9">
        <f>SUM(G38+O38)</f>
        <v>0</v>
      </c>
      <c r="U38" s="6" t="str">
        <f t="shared" si="4"/>
        <v>U</v>
      </c>
      <c r="V38" s="6"/>
      <c r="W38" s="6"/>
    </row>
    <row r="39" spans="2:23" ht="15.75">
      <c r="B39" s="2"/>
      <c r="C39" s="6"/>
      <c r="D39" s="6"/>
      <c r="E39" s="6"/>
      <c r="F39" s="6"/>
      <c r="G39" s="7">
        <f t="shared" si="7"/>
        <v>0</v>
      </c>
      <c r="H39" s="7" t="str">
        <f t="shared" si="1"/>
        <v>U</v>
      </c>
      <c r="I39" s="6"/>
      <c r="J39" s="6"/>
      <c r="K39" s="6"/>
      <c r="L39" s="6"/>
      <c r="M39" s="6"/>
      <c r="N39" s="6"/>
      <c r="O39" s="8">
        <f t="shared" si="8"/>
        <v>0</v>
      </c>
      <c r="P39" s="8" t="str">
        <f t="shared" si="3"/>
        <v>U</v>
      </c>
      <c r="Q39" s="6"/>
      <c r="R39" s="6"/>
      <c r="S39" s="15">
        <f>SUM(Q39:R39)</f>
        <v>0</v>
      </c>
      <c r="T39" s="9">
        <f>SUM(G39+O39)</f>
        <v>0</v>
      </c>
      <c r="U39" s="6" t="str">
        <f t="shared" si="4"/>
        <v>U</v>
      </c>
      <c r="V39" s="6"/>
      <c r="W39" s="6"/>
    </row>
    <row r="40" spans="2:23" ht="15.75">
      <c r="B40" s="2"/>
      <c r="C40" s="6"/>
      <c r="D40" s="6"/>
      <c r="E40" s="6"/>
      <c r="F40" s="6"/>
      <c r="G40" s="7">
        <f>SUM(C40:F40)</f>
        <v>0</v>
      </c>
      <c r="H40" s="7" t="str">
        <f t="shared" si="1"/>
        <v>U</v>
      </c>
      <c r="I40" s="6"/>
      <c r="J40" s="6"/>
      <c r="K40" s="6"/>
      <c r="L40" s="6"/>
      <c r="M40" s="6"/>
      <c r="N40" s="6"/>
      <c r="O40" s="8">
        <f t="shared" si="8"/>
        <v>0</v>
      </c>
      <c r="P40" s="8" t="str">
        <f t="shared" si="3"/>
        <v>U</v>
      </c>
      <c r="Q40" s="6"/>
      <c r="R40" s="6"/>
      <c r="S40" s="15">
        <f>SUM(Q40:R40)</f>
        <v>0</v>
      </c>
      <c r="T40" s="9">
        <f>SUM(G40+O40)</f>
        <v>0</v>
      </c>
      <c r="U40" s="6" t="str">
        <f t="shared" si="4"/>
        <v>U</v>
      </c>
      <c r="V40" s="10"/>
      <c r="W40" s="6"/>
    </row>
    <row r="41" spans="2:23" ht="15.75">
      <c r="B41" s="2"/>
      <c r="C41" s="6"/>
      <c r="D41" s="6"/>
      <c r="E41" s="6"/>
      <c r="F41" s="6"/>
      <c r="G41" s="7">
        <f t="shared" ref="G41" si="9">SUM(C41:F41)</f>
        <v>0</v>
      </c>
      <c r="H41" s="7" t="str">
        <f t="shared" si="1"/>
        <v>U</v>
      </c>
      <c r="I41" s="6"/>
      <c r="J41" s="6"/>
      <c r="K41" s="6"/>
      <c r="L41" s="6"/>
      <c r="M41" s="6"/>
      <c r="N41" s="6"/>
      <c r="O41" s="8">
        <f t="shared" si="8"/>
        <v>0</v>
      </c>
      <c r="P41" s="8" t="str">
        <f t="shared" si="3"/>
        <v>U</v>
      </c>
      <c r="Q41" s="6"/>
      <c r="R41" s="6"/>
      <c r="S41" s="15">
        <f>SUM(Q41:R41)</f>
        <v>0</v>
      </c>
      <c r="T41" s="9">
        <f>SUM(G41+O41)</f>
        <v>0</v>
      </c>
      <c r="U41" s="6" t="str">
        <f t="shared" si="4"/>
        <v>U</v>
      </c>
      <c r="V41" s="6"/>
      <c r="W41" s="6"/>
    </row>
    <row r="42" spans="2:23" ht="15.75">
      <c r="B42" s="2"/>
      <c r="C42" s="6"/>
      <c r="D42" s="6"/>
      <c r="E42" s="6"/>
      <c r="F42" s="6"/>
      <c r="G42" s="7">
        <f>SUM(C42:F42)</f>
        <v>0</v>
      </c>
      <c r="H42" s="7" t="str">
        <f t="shared" si="1"/>
        <v>U</v>
      </c>
      <c r="I42" s="6"/>
      <c r="J42" s="6"/>
      <c r="K42" s="6"/>
      <c r="L42" s="6"/>
      <c r="M42" s="6"/>
      <c r="N42" s="6"/>
      <c r="O42" s="8">
        <f t="shared" si="8"/>
        <v>0</v>
      </c>
      <c r="P42" s="8" t="str">
        <f t="shared" si="3"/>
        <v>U</v>
      </c>
      <c r="Q42" s="6"/>
      <c r="R42" s="6"/>
      <c r="S42" s="15">
        <f>SUM(Q42:R42)</f>
        <v>0</v>
      </c>
      <c r="T42" s="9">
        <f>SUM(G42+O42)</f>
        <v>0</v>
      </c>
      <c r="U42" s="6" t="str">
        <f t="shared" si="4"/>
        <v>U</v>
      </c>
      <c r="V42" s="6"/>
      <c r="W42" s="6"/>
    </row>
    <row r="43" spans="2:23" ht="15.75">
      <c r="B43" s="2"/>
      <c r="C43" s="6"/>
      <c r="D43" s="6"/>
      <c r="E43" s="6"/>
      <c r="F43" s="6"/>
      <c r="G43" s="7">
        <f t="shared" ref="G43:G44" si="10">SUM(C43:F43)</f>
        <v>0</v>
      </c>
      <c r="H43" s="7" t="str">
        <f t="shared" si="1"/>
        <v>U</v>
      </c>
      <c r="I43" s="6"/>
      <c r="J43" s="6"/>
      <c r="K43" s="6"/>
      <c r="L43" s="6"/>
      <c r="M43" s="6"/>
      <c r="N43" s="6"/>
      <c r="O43" s="8">
        <f t="shared" si="8"/>
        <v>0</v>
      </c>
      <c r="P43" s="8" t="str">
        <f t="shared" si="3"/>
        <v>U</v>
      </c>
      <c r="Q43" s="6"/>
      <c r="R43" s="6"/>
      <c r="S43" s="15">
        <f>SUM(Q43:R43)</f>
        <v>0</v>
      </c>
      <c r="T43" s="9">
        <f>SUM(G43+O43)</f>
        <v>0</v>
      </c>
      <c r="U43" s="6" t="str">
        <f t="shared" si="4"/>
        <v>U</v>
      </c>
      <c r="V43" s="10"/>
      <c r="W43" s="6"/>
    </row>
    <row r="44" spans="2:23" ht="15.75">
      <c r="B44" s="2"/>
      <c r="C44" s="6"/>
      <c r="D44" s="6"/>
      <c r="E44" s="6"/>
      <c r="F44" s="6"/>
      <c r="G44" s="7">
        <f t="shared" si="10"/>
        <v>0</v>
      </c>
      <c r="H44" s="7" t="str">
        <f t="shared" si="1"/>
        <v>U</v>
      </c>
      <c r="I44" s="6"/>
      <c r="J44" s="6"/>
      <c r="K44" s="6"/>
      <c r="L44" s="6"/>
      <c r="M44" s="6"/>
      <c r="N44" s="6"/>
      <c r="O44" s="8">
        <f t="shared" si="8"/>
        <v>0</v>
      </c>
      <c r="P44" s="8" t="str">
        <f t="shared" si="3"/>
        <v>U</v>
      </c>
      <c r="Q44" s="6"/>
      <c r="R44" s="6"/>
      <c r="S44" s="15">
        <f>SUM(Q44:R44)</f>
        <v>0</v>
      </c>
      <c r="T44" s="9">
        <f>SUM(G44+O44)</f>
        <v>0</v>
      </c>
      <c r="U44" s="6" t="str">
        <f t="shared" si="4"/>
        <v>U</v>
      </c>
      <c r="V44" s="10"/>
      <c r="W44" s="6"/>
    </row>
  </sheetData>
  <mergeCells count="4">
    <mergeCell ref="C1:H1"/>
    <mergeCell ref="I1:P1"/>
    <mergeCell ref="T1:W1"/>
    <mergeCell ref="Q1:S1"/>
  </mergeCells>
  <dataValidations count="1">
    <dataValidation type="custom" allowBlank="1" showInputMessage="1" showErrorMessage="1" sqref="B32:B44" xr:uid="{00000000-0002-0000-0000-000000000000}">
      <formula1>"/,\\,@,B,C,D,E,G,H,I,L,M,N,O,P,R,S,T,V,W,X,Y,Z,!,#,*,-"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selection activeCell="J3" sqref="J3:J6"/>
    </sheetView>
  </sheetViews>
  <sheetFormatPr defaultRowHeight="14.45"/>
  <cols>
    <col min="1" max="1" width="9.85546875" customWidth="1"/>
    <col min="3" max="3" width="0" hidden="1" customWidth="1"/>
    <col min="5" max="5" width="10.7109375" customWidth="1"/>
    <col min="8" max="8" width="0" hidden="1" customWidth="1"/>
    <col min="11" max="11" width="11.5703125" customWidth="1"/>
    <col min="13" max="13" width="9.28515625" bestFit="1" customWidth="1"/>
  </cols>
  <sheetData>
    <row r="1" spans="1:13">
      <c r="A1" t="s">
        <v>82</v>
      </c>
    </row>
    <row r="3" spans="1:13">
      <c r="A3" t="s">
        <v>83</v>
      </c>
      <c r="B3" s="11" t="s">
        <v>84</v>
      </c>
      <c r="C3" t="s">
        <v>85</v>
      </c>
      <c r="E3" t="s">
        <v>27</v>
      </c>
      <c r="F3" s="11" t="s">
        <v>28</v>
      </c>
      <c r="G3" t="s">
        <v>26</v>
      </c>
      <c r="H3" t="s">
        <v>86</v>
      </c>
      <c r="J3" t="s">
        <v>87</v>
      </c>
      <c r="K3" t="s">
        <v>88</v>
      </c>
      <c r="L3" t="s">
        <v>26</v>
      </c>
      <c r="M3" t="s">
        <v>89</v>
      </c>
    </row>
    <row r="4" spans="1:13">
      <c r="A4">
        <v>9</v>
      </c>
      <c r="B4">
        <v>84</v>
      </c>
      <c r="C4" s="13">
        <f>SUM((B4/100)*130)</f>
        <v>109.2</v>
      </c>
      <c r="E4">
        <v>9</v>
      </c>
      <c r="F4">
        <v>33</v>
      </c>
      <c r="G4" s="12">
        <f>SUM(F4/40)</f>
        <v>0.82499999999999996</v>
      </c>
      <c r="H4" s="13">
        <f>SUM(F4/40*70)</f>
        <v>57.75</v>
      </c>
      <c r="J4">
        <v>9</v>
      </c>
      <c r="K4" s="13">
        <f>SUM(C4+H4)</f>
        <v>166.95</v>
      </c>
      <c r="L4" s="14">
        <f>SUM(K4/200)</f>
        <v>0.83474999999999999</v>
      </c>
      <c r="M4" s="13">
        <f>SUM(L4*140)</f>
        <v>116.86499999999999</v>
      </c>
    </row>
    <row r="5" spans="1:13">
      <c r="A5">
        <v>8</v>
      </c>
      <c r="B5">
        <v>78</v>
      </c>
      <c r="C5" s="13">
        <f t="shared" ref="C5:C12" si="0">SUM((B5/100)*130)</f>
        <v>101.4</v>
      </c>
      <c r="E5">
        <v>8</v>
      </c>
      <c r="F5">
        <v>28</v>
      </c>
      <c r="G5" s="12">
        <f t="shared" ref="G5:G12" si="1">SUM(F5/40)</f>
        <v>0.7</v>
      </c>
      <c r="H5" s="13">
        <f t="shared" ref="H5:H12" si="2">SUM(F5/40*70)</f>
        <v>49</v>
      </c>
      <c r="J5">
        <v>8</v>
      </c>
      <c r="K5" s="13">
        <f t="shared" ref="K5:K12" si="3">SUM(C5+H5)</f>
        <v>150.4</v>
      </c>
      <c r="L5" s="14">
        <f t="shared" ref="L5:L12" si="4">SUM(K5/200)</f>
        <v>0.752</v>
      </c>
      <c r="M5" s="13">
        <f t="shared" ref="M5:M12" si="5">SUM(L5*140)</f>
        <v>105.28</v>
      </c>
    </row>
    <row r="6" spans="1:13">
      <c r="A6">
        <v>7</v>
      </c>
      <c r="B6">
        <v>71</v>
      </c>
      <c r="C6" s="13">
        <f t="shared" si="0"/>
        <v>92.3</v>
      </c>
      <c r="E6">
        <v>7</v>
      </c>
      <c r="F6">
        <v>24</v>
      </c>
      <c r="G6" s="12">
        <f t="shared" si="1"/>
        <v>0.6</v>
      </c>
      <c r="H6" s="13">
        <f t="shared" si="2"/>
        <v>42</v>
      </c>
      <c r="J6">
        <v>7</v>
      </c>
      <c r="K6" s="13">
        <f t="shared" si="3"/>
        <v>134.30000000000001</v>
      </c>
      <c r="L6" s="14">
        <f t="shared" si="4"/>
        <v>0.6715000000000001</v>
      </c>
      <c r="M6" s="13">
        <f t="shared" si="5"/>
        <v>94.010000000000019</v>
      </c>
    </row>
    <row r="7" spans="1:13">
      <c r="A7">
        <v>6</v>
      </c>
      <c r="B7">
        <v>61</v>
      </c>
      <c r="C7" s="13">
        <f t="shared" si="0"/>
        <v>79.3</v>
      </c>
      <c r="E7">
        <v>6</v>
      </c>
      <c r="F7">
        <v>21</v>
      </c>
      <c r="G7" s="12">
        <f t="shared" si="1"/>
        <v>0.52500000000000002</v>
      </c>
      <c r="H7" s="13">
        <f t="shared" si="2"/>
        <v>36.75</v>
      </c>
      <c r="J7">
        <v>6</v>
      </c>
      <c r="K7" s="13">
        <f t="shared" si="3"/>
        <v>116.05</v>
      </c>
      <c r="L7" s="14">
        <f t="shared" si="4"/>
        <v>0.58024999999999993</v>
      </c>
      <c r="M7" s="13">
        <f t="shared" si="5"/>
        <v>81.234999999999985</v>
      </c>
    </row>
    <row r="8" spans="1:13">
      <c r="A8">
        <v>5</v>
      </c>
      <c r="B8">
        <v>50</v>
      </c>
      <c r="C8" s="13">
        <f t="shared" si="0"/>
        <v>65</v>
      </c>
      <c r="E8">
        <v>5</v>
      </c>
      <c r="F8">
        <v>19</v>
      </c>
      <c r="G8" s="12">
        <f t="shared" si="1"/>
        <v>0.47499999999999998</v>
      </c>
      <c r="H8" s="13">
        <f t="shared" si="2"/>
        <v>33.25</v>
      </c>
      <c r="J8">
        <v>5</v>
      </c>
      <c r="K8" s="13">
        <f t="shared" si="3"/>
        <v>98.25</v>
      </c>
      <c r="L8" s="14">
        <f t="shared" si="4"/>
        <v>0.49125000000000002</v>
      </c>
      <c r="M8" s="13">
        <f t="shared" si="5"/>
        <v>68.775000000000006</v>
      </c>
    </row>
    <row r="9" spans="1:13">
      <c r="A9">
        <v>4</v>
      </c>
      <c r="B9">
        <v>40</v>
      </c>
      <c r="C9" s="13">
        <f t="shared" si="0"/>
        <v>52</v>
      </c>
      <c r="E9">
        <v>4</v>
      </c>
      <c r="F9">
        <v>17</v>
      </c>
      <c r="G9" s="12">
        <f t="shared" si="1"/>
        <v>0.42499999999999999</v>
      </c>
      <c r="H9" s="13">
        <f t="shared" si="2"/>
        <v>29.75</v>
      </c>
      <c r="J9">
        <v>4</v>
      </c>
      <c r="K9" s="13">
        <f t="shared" si="3"/>
        <v>81.75</v>
      </c>
      <c r="L9" s="14">
        <f t="shared" si="4"/>
        <v>0.40875</v>
      </c>
      <c r="M9" s="13">
        <f t="shared" si="5"/>
        <v>57.225000000000001</v>
      </c>
    </row>
    <row r="10" spans="1:13">
      <c r="A10">
        <v>3</v>
      </c>
      <c r="B10">
        <v>30</v>
      </c>
      <c r="C10" s="13">
        <f t="shared" si="0"/>
        <v>39</v>
      </c>
      <c r="E10">
        <v>3</v>
      </c>
      <c r="F10">
        <v>13</v>
      </c>
      <c r="G10" s="12">
        <f t="shared" si="1"/>
        <v>0.32500000000000001</v>
      </c>
      <c r="H10" s="13">
        <f t="shared" si="2"/>
        <v>22.75</v>
      </c>
      <c r="J10">
        <v>3</v>
      </c>
      <c r="K10" s="13">
        <f t="shared" si="3"/>
        <v>61.75</v>
      </c>
      <c r="L10" s="14">
        <f t="shared" si="4"/>
        <v>0.30875000000000002</v>
      </c>
      <c r="M10" s="13">
        <f t="shared" si="5"/>
        <v>43.225000000000001</v>
      </c>
    </row>
    <row r="11" spans="1:13">
      <c r="A11">
        <v>2</v>
      </c>
      <c r="B11">
        <v>20</v>
      </c>
      <c r="C11" s="13">
        <f t="shared" si="0"/>
        <v>26</v>
      </c>
      <c r="E11">
        <v>2</v>
      </c>
      <c r="F11">
        <v>10</v>
      </c>
      <c r="G11" s="12">
        <f t="shared" si="1"/>
        <v>0.25</v>
      </c>
      <c r="H11" s="13">
        <f t="shared" si="2"/>
        <v>17.5</v>
      </c>
      <c r="J11">
        <v>2</v>
      </c>
      <c r="K11" s="13">
        <f t="shared" si="3"/>
        <v>43.5</v>
      </c>
      <c r="L11" s="14">
        <f t="shared" si="4"/>
        <v>0.2175</v>
      </c>
      <c r="M11" s="13">
        <f t="shared" si="5"/>
        <v>30.45</v>
      </c>
    </row>
    <row r="12" spans="1:13">
      <c r="A12">
        <v>1</v>
      </c>
      <c r="B12">
        <v>10</v>
      </c>
      <c r="C12" s="13">
        <f t="shared" si="0"/>
        <v>13</v>
      </c>
      <c r="E12">
        <v>1</v>
      </c>
      <c r="F12">
        <v>7</v>
      </c>
      <c r="G12" s="12">
        <f t="shared" si="1"/>
        <v>0.17499999999999999</v>
      </c>
      <c r="H12" s="13">
        <f t="shared" si="2"/>
        <v>12.25</v>
      </c>
      <c r="J12">
        <v>1</v>
      </c>
      <c r="K12" s="13">
        <f t="shared" si="3"/>
        <v>25.25</v>
      </c>
      <c r="L12" s="14">
        <f t="shared" si="4"/>
        <v>0.12625</v>
      </c>
      <c r="M12" s="13">
        <f t="shared" si="5"/>
        <v>17.675000000000001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8B97-C060-48B3-8D56-E90A6B345B72}">
  <dimension ref="A1:L11"/>
  <sheetViews>
    <sheetView tabSelected="1" workbookViewId="0">
      <selection activeCell="B7" sqref="B7"/>
    </sheetView>
  </sheetViews>
  <sheetFormatPr defaultRowHeight="14.45"/>
  <cols>
    <col min="1" max="1" width="10.140625" bestFit="1" customWidth="1"/>
    <col min="4" max="4" width="11.7109375" bestFit="1" customWidth="1"/>
    <col min="6" max="6" width="7.7109375" customWidth="1"/>
    <col min="8" max="8" width="13" bestFit="1" customWidth="1"/>
    <col min="9" max="15" width="9.140625" customWidth="1"/>
  </cols>
  <sheetData>
    <row r="1" spans="1:12">
      <c r="L1" t="s">
        <v>90</v>
      </c>
    </row>
    <row r="2" spans="1:12">
      <c r="A2" t="s">
        <v>83</v>
      </c>
      <c r="B2" s="11" t="s">
        <v>84</v>
      </c>
      <c r="D2" t="s">
        <v>27</v>
      </c>
      <c r="E2" s="11" t="s">
        <v>28</v>
      </c>
      <c r="F2" t="s">
        <v>26</v>
      </c>
      <c r="H2" t="s">
        <v>25</v>
      </c>
      <c r="I2" t="s">
        <v>26</v>
      </c>
    </row>
    <row r="3" spans="1:12">
      <c r="A3">
        <v>9</v>
      </c>
      <c r="B3">
        <v>91</v>
      </c>
      <c r="D3">
        <v>9</v>
      </c>
      <c r="E3">
        <v>34</v>
      </c>
      <c r="F3" s="12">
        <f>SUM(E3/40)</f>
        <v>0.85</v>
      </c>
      <c r="H3">
        <f>SUM(B3,E3)</f>
        <v>125</v>
      </c>
      <c r="I3" s="12">
        <f>SUM(H3/140)</f>
        <v>0.8928571428571429</v>
      </c>
    </row>
    <row r="4" spans="1:12">
      <c r="A4">
        <v>8</v>
      </c>
      <c r="B4">
        <v>85</v>
      </c>
      <c r="D4">
        <v>8</v>
      </c>
      <c r="E4">
        <v>30</v>
      </c>
      <c r="F4" s="12">
        <f t="shared" ref="F4:F11" si="0">SUM(E4/40)</f>
        <v>0.75</v>
      </c>
      <c r="H4">
        <f t="shared" ref="H4:H11" si="1">SUM(B4,E4)</f>
        <v>115</v>
      </c>
      <c r="I4" s="12">
        <f t="shared" ref="I4:I11" si="2">SUM(H4/140)</f>
        <v>0.8214285714285714</v>
      </c>
    </row>
    <row r="5" spans="1:12">
      <c r="A5">
        <v>7</v>
      </c>
      <c r="B5">
        <v>79</v>
      </c>
      <c r="D5">
        <v>7</v>
      </c>
      <c r="E5">
        <v>25</v>
      </c>
      <c r="F5" s="12">
        <f t="shared" si="0"/>
        <v>0.625</v>
      </c>
      <c r="H5">
        <f t="shared" si="1"/>
        <v>104</v>
      </c>
      <c r="I5" s="12">
        <f t="shared" si="2"/>
        <v>0.74285714285714288</v>
      </c>
    </row>
    <row r="6" spans="1:12">
      <c r="A6">
        <v>6</v>
      </c>
      <c r="B6">
        <v>70</v>
      </c>
      <c r="D6">
        <v>6</v>
      </c>
      <c r="E6">
        <v>22</v>
      </c>
      <c r="F6" s="12">
        <f t="shared" si="0"/>
        <v>0.55000000000000004</v>
      </c>
      <c r="H6">
        <f t="shared" si="1"/>
        <v>92</v>
      </c>
      <c r="I6" s="12">
        <f t="shared" si="2"/>
        <v>0.65714285714285714</v>
      </c>
    </row>
    <row r="7" spans="1:12">
      <c r="A7">
        <v>5</v>
      </c>
      <c r="B7">
        <v>62</v>
      </c>
      <c r="D7">
        <v>5</v>
      </c>
      <c r="E7">
        <v>19</v>
      </c>
      <c r="F7" s="12">
        <f t="shared" si="0"/>
        <v>0.47499999999999998</v>
      </c>
      <c r="H7">
        <f t="shared" si="1"/>
        <v>81</v>
      </c>
      <c r="I7" s="12">
        <f t="shared" si="2"/>
        <v>0.57857142857142863</v>
      </c>
    </row>
    <row r="8" spans="1:12">
      <c r="A8">
        <v>4</v>
      </c>
      <c r="B8">
        <v>52</v>
      </c>
      <c r="D8">
        <v>4</v>
      </c>
      <c r="E8">
        <v>17</v>
      </c>
      <c r="F8" s="12">
        <f t="shared" si="0"/>
        <v>0.42499999999999999</v>
      </c>
      <c r="H8">
        <f t="shared" si="1"/>
        <v>69</v>
      </c>
      <c r="I8" s="12">
        <f t="shared" si="2"/>
        <v>0.49285714285714288</v>
      </c>
    </row>
    <row r="9" spans="1:12">
      <c r="A9">
        <v>3</v>
      </c>
      <c r="B9">
        <v>39</v>
      </c>
      <c r="D9">
        <v>3</v>
      </c>
      <c r="E9">
        <v>14</v>
      </c>
      <c r="F9" s="12">
        <f t="shared" si="0"/>
        <v>0.35</v>
      </c>
      <c r="H9">
        <f t="shared" si="1"/>
        <v>53</v>
      </c>
      <c r="I9" s="12">
        <f t="shared" si="2"/>
        <v>0.37857142857142856</v>
      </c>
    </row>
    <row r="10" spans="1:12">
      <c r="A10">
        <v>2</v>
      </c>
      <c r="B10">
        <v>27</v>
      </c>
      <c r="D10">
        <v>2</v>
      </c>
      <c r="E10">
        <v>12</v>
      </c>
      <c r="F10" s="12">
        <f t="shared" si="0"/>
        <v>0.3</v>
      </c>
      <c r="H10">
        <f t="shared" si="1"/>
        <v>39</v>
      </c>
      <c r="I10" s="12">
        <f t="shared" si="2"/>
        <v>0.27857142857142858</v>
      </c>
    </row>
    <row r="11" spans="1:12">
      <c r="A11">
        <v>1</v>
      </c>
      <c r="B11">
        <v>15</v>
      </c>
      <c r="D11">
        <v>1</v>
      </c>
      <c r="E11">
        <v>10</v>
      </c>
      <c r="F11" s="12">
        <f t="shared" si="0"/>
        <v>0.25</v>
      </c>
      <c r="H11">
        <f t="shared" si="1"/>
        <v>25</v>
      </c>
      <c r="I11" s="12">
        <f t="shared" si="2"/>
        <v>0.17857142857142858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11fad-e941-47dd-a958-fc9328189373" xsi:nil="true"/>
    <be0f2a9c122243bd87519536cd9093df xmlns="43311fad-e941-47dd-a958-fc9328189373">
      <Terms xmlns="http://schemas.microsoft.com/office/infopath/2007/PartnerControls"/>
    </be0f2a9c122243bd87519536cd9093df>
    <KeyStage xmlns="43311fad-e941-47dd-a958-fc9328189373" xsi:nil="true"/>
    <ad114e4a5a92420697ae84e86f040ec7 xmlns="43311fad-e941-47dd-a958-fc9328189373">
      <Terms xmlns="http://schemas.microsoft.com/office/infopath/2007/PartnerControls"/>
    </ad114e4a5a92420697ae84e86f040ec7>
    <Lesson xmlns="43311fad-e941-47dd-a958-fc9328189373" xsi:nil="true"/>
    <Year xmlns="43311fad-e941-47dd-a958-fc9328189373" xsi:nil="true"/>
    <CustomTags xmlns="43311fad-e941-47dd-a958-fc9328189373" xsi:nil="true"/>
    <PersonalIdentificationData xmlns="43311fad-e941-47dd-a958-fc9328189373" xsi:nil="true"/>
    <c085fe45ef56454a8fe02bbd2289f544 xmlns="43311fad-e941-47dd-a958-fc9328189373">
      <Terms xmlns="http://schemas.microsoft.com/office/infopath/2007/PartnerControls"/>
    </c085fe45ef56454a8fe02bbd2289f544>
    <kb72a3aabe96467e90796440673f94f8 xmlns="43311fad-e941-47dd-a958-fc9328189373">
      <Terms xmlns="http://schemas.microsoft.com/office/infopath/2007/PartnerControls"/>
    </kb72a3aabe96467e90796440673f94f8>
    <c27aef2aa0f046ab9a25d6681686f20a xmlns="43311fad-e941-47dd-a958-fc9328189373">
      <Terms xmlns="http://schemas.microsoft.com/office/infopath/2007/PartnerControls"/>
    </c27aef2aa0f046ab9a25d6681686f20a>
    <CurriculumSubject xmlns="43311fad-e941-47dd-a958-fc9328189373">Latin</CurriculumSubjec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5C0C81859BB4186CA4CA7B1E7CAF6" ma:contentTypeVersion="21" ma:contentTypeDescription="Create a new document." ma:contentTypeScope="" ma:versionID="404066ea3ccd07639802a44bda584439">
  <xsd:schema xmlns:xsd="http://www.w3.org/2001/XMLSchema" xmlns:xs="http://www.w3.org/2001/XMLSchema" xmlns:p="http://schemas.microsoft.com/office/2006/metadata/properties" xmlns:ns2="43311fad-e941-47dd-a958-fc9328189373" xmlns:ns3="4e9a2dc1-b9ba-4197-a2ed-8c02e99493a5" targetNamespace="http://schemas.microsoft.com/office/2006/metadata/properties" ma:root="true" ma:fieldsID="f499c709aa9f987b0d52635a89a2cbae" ns2:_="" ns3:_="">
    <xsd:import namespace="43311fad-e941-47dd-a958-fc9328189373"/>
    <xsd:import namespace="4e9a2dc1-b9ba-4197-a2ed-8c02e99493a5"/>
    <xsd:element name="properties">
      <xsd:complexType>
        <xsd:sequence>
          <xsd:element name="documentManagement">
            <xsd:complexType>
              <xsd:all>
                <xsd:element ref="ns2:kb72a3aabe96467e90796440673f94f8" minOccurs="0"/>
                <xsd:element ref="ns2:TaxCatchAll" minOccurs="0"/>
                <xsd:element ref="ns2:c085fe45ef56454a8fe02bbd2289f544" minOccurs="0"/>
                <xsd:element ref="ns2:ad114e4a5a92420697ae84e86f040ec7" minOccurs="0"/>
                <xsd:element ref="ns2:c27aef2aa0f046ab9a25d6681686f20a" minOccurs="0"/>
                <xsd:element ref="ns2:be0f2a9c122243bd87519536cd9093df" minOccurs="0"/>
                <xsd:element ref="ns2:PersonalIdentificationData" minOccurs="0"/>
                <xsd:element ref="ns2:KeyStage" minOccurs="0"/>
                <xsd:element ref="ns2:Year" minOccurs="0"/>
                <xsd:element ref="ns2:Lesson" minOccurs="0"/>
                <xsd:element ref="ns2:CustomTags" minOccurs="0"/>
                <xsd:element ref="ns2:CurriculumSubjec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11fad-e941-47dd-a958-fc9328189373" elementFormDefault="qualified">
    <xsd:import namespace="http://schemas.microsoft.com/office/2006/documentManagement/types"/>
    <xsd:import namespace="http://schemas.microsoft.com/office/infopath/2007/PartnerControls"/>
    <xsd:element name="kb72a3aabe96467e90796440673f94f8" ma:index="9" nillable="true" ma:taxonomy="true" ma:internalName="kb72a3aabe96467e90796440673f94f8" ma:taxonomyFieldName="Topic" ma:displayName="Topic" ma:fieldId="{4b72a3aa-be96-467e-9079-6440673f94f8}" ma:sspId="1cf5dd60-7792-4f01-96d1-e079da7b2a02" ma:termSetId="b8e30f52-64ef-471c-8763-d6f44a3766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dc58c999-0fd8-4743-89fc-8ee153ad6c9e}" ma:internalName="TaxCatchAll" ma:showField="CatchAllData" ma:web="43311fad-e941-47dd-a958-fc93281893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085fe45ef56454a8fe02bbd2289f544" ma:index="12" nillable="true" ma:taxonomy="true" ma:internalName="c085fe45ef56454a8fe02bbd2289f544" ma:taxonomyFieldName="Staff_x0020_Category" ma:displayName="Staff Category" ma:fieldId="{c085fe45-ef56-454a-8fe0-2bbd2289f544}" ma:sspId="1cf5dd60-7792-4f01-96d1-e079da7b2a02" ma:termSetId="77d6b42e-568e-49ff-b189-00620863408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d114e4a5a92420697ae84e86f040ec7" ma:index="14" nillable="true" ma:taxonomy="true" ma:internalName="ad114e4a5a92420697ae84e86f040ec7" ma:taxonomyFieldName="Exam_x0020_Board" ma:displayName="Exam Board" ma:fieldId="{ad114e4a-5a92-4206-97ae-84e86f040ec7}" ma:sspId="1cf5dd60-7792-4f01-96d1-e079da7b2a02" ma:termSetId="73a470b6-6fad-45b1-ad65-0e16f02e9c5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7aef2aa0f046ab9a25d6681686f20a" ma:index="16" nillable="true" ma:taxonomy="true" ma:internalName="c27aef2aa0f046ab9a25d6681686f20a" ma:taxonomyFieldName="Week" ma:displayName="Week" ma:fieldId="{c27aef2a-a0f0-46ab-9a25-d6681686f20a}" ma:sspId="1cf5dd60-7792-4f01-96d1-e079da7b2a02" ma:termSetId="17dfb337-e261-4337-9199-8eecabbe4ee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e0f2a9c122243bd87519536cd9093df" ma:index="18" nillable="true" ma:taxonomy="true" ma:internalName="be0f2a9c122243bd87519536cd9093df" ma:taxonomyFieldName="Term" ma:displayName="Term" ma:fieldId="{be0f2a9c-1222-43bd-8751-9536cd9093df}" ma:sspId="1cf5dd60-7792-4f01-96d1-e079da7b2a02" ma:termSetId="7eeb6708-7deb-4fe3-a046-69167107cb1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alIdentificationData" ma:index="19" nillable="true" ma:displayName="Personal Identification Data" ma:internalName="Personal_x0020_Identification_x0020_Data">
      <xsd:simpleType>
        <xsd:restriction base="dms:Choice">
          <xsd:enumeration value="No"/>
          <xsd:enumeration value="Yes"/>
        </xsd:restriction>
      </xsd:simpleType>
    </xsd:element>
    <xsd:element name="KeyStage" ma:index="20" nillable="true" ma:displayName="Key Stage" ma:internalName="Key_x0020_Stage">
      <xsd:simpleType>
        <xsd:restriction base="dms:Text"/>
      </xsd:simpleType>
    </xsd:element>
    <xsd:element name="Year" ma:index="21" nillable="true" ma:displayName="Year" ma:internalName="Year">
      <xsd:simpleType>
        <xsd:restriction base="dms:Text"/>
      </xsd:simpleType>
    </xsd:element>
    <xsd:element name="Lesson" ma:index="22" nillable="true" ma:displayName="Lesson" ma:internalName="Lesson">
      <xsd:simpleType>
        <xsd:restriction base="dms:Text"/>
      </xsd:simpleType>
    </xsd:element>
    <xsd:element name="CustomTags" ma:index="23" nillable="true" ma:displayName="Custom Tags" ma:internalName="Custom_x0020_Tags">
      <xsd:simpleType>
        <xsd:restriction base="dms:Text"/>
      </xsd:simpleType>
    </xsd:element>
    <xsd:element name="CurriculumSubject" ma:index="24" nillable="true" ma:displayName="Curriculum Subject" ma:default="Latin" ma:internalName="Curriculum_x0020_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a2dc1-b9ba-4197-a2ed-8c02e99493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053FD3-5841-433E-8BCD-10DF90CFE021}"/>
</file>

<file path=customXml/itemProps2.xml><?xml version="1.0" encoding="utf-8"?>
<ds:datastoreItem xmlns:ds="http://schemas.openxmlformats.org/officeDocument/2006/customXml" ds:itemID="{D89F5984-3585-4A74-8391-F31568A8677F}"/>
</file>

<file path=customXml/itemProps3.xml><?xml version="1.0" encoding="utf-8"?>
<ds:datastoreItem xmlns:ds="http://schemas.openxmlformats.org/officeDocument/2006/customXml" ds:itemID="{29E91C7F-088A-460F-946A-887CB662C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Pimlico Academy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L.Patrick</dc:creator>
  <cp:keywords/>
  <dc:description/>
  <cp:lastModifiedBy>Aisling Bradley (TRI)</cp:lastModifiedBy>
  <cp:revision/>
  <dcterms:created xsi:type="dcterms:W3CDTF">2023-02-21T12:14:49Z</dcterms:created>
  <dcterms:modified xsi:type="dcterms:W3CDTF">2025-11-24T18:01:34Z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0x010100A2B5C0C81859BB4186CA4CA7B1E7CAF6</vt:lpwstr>
  </property>
  <property fmtid="{D5CDD505-2E9C-101B-9397-08002B2CF9AE}" pid="3" name="MediaServiceImageTags">
    <vt:lpwstr/>
  </property>
  <property fmtid="{D5CDD505-2E9C-101B-9397-08002B2CF9AE}" pid="4" name="Topic">
    <vt:lpwstr/>
  </property>
  <property fmtid="{D5CDD505-2E9C-101B-9397-08002B2CF9AE}" pid="5" name="Exam_x0020_Board">
    <vt:lpwstr/>
  </property>
  <property fmtid="{D5CDD505-2E9C-101B-9397-08002B2CF9AE}" pid="6" name="Term">
    <vt:lpwstr/>
  </property>
  <property fmtid="{D5CDD505-2E9C-101B-9397-08002B2CF9AE}" pid="7" name="Week">
    <vt:lpwstr/>
  </property>
  <property fmtid="{D5CDD505-2E9C-101B-9397-08002B2CF9AE}" pid="8" name="Staff_x0020_Category">
    <vt:lpwstr/>
  </property>
  <property fmtid="{D5CDD505-2E9C-101B-9397-08002B2CF9AE}" pid="9" name="Staff Category">
    <vt:lpwstr/>
  </property>
  <property fmtid="{D5CDD505-2E9C-101B-9397-08002B2CF9AE}" pid="10" name="Exam Board">
    <vt:lpwstr/>
  </property>
</Properties>
</file>