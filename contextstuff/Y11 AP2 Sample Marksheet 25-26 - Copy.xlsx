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futureacademies.sharepoint.com/sites/CurriculumCentre323/Shared Documents/Curriculum Centre - Sharepoint/Secondary Curriculum/Classics/02. KS4/5. Assessment Resources/Y11 AP2/"/>
    </mc:Choice>
  </mc:AlternateContent>
  <xr:revisionPtr revIDLastSave="573" documentId="8_{9C8E118E-8419-447D-ACE2-0F07FC1CC425}" xr6:coauthVersionLast="47" xr6:coauthVersionMax="47" xr10:uidLastSave="{21604A7F-EE77-4DB0-AB52-2C554BA975A1}"/>
  <bookViews>
    <workbookView xWindow="-110" yWindow="-110" windowWidth="19420" windowHeight="11500" xr2:uid="{24283E43-D4A6-4167-90E0-65EF1C386E35}"/>
  </bookViews>
  <sheets>
    <sheet name="Sheet1" sheetId="1" r:id="rId1"/>
    <sheet name="Grade Bounda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3" i="2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4" i="1"/>
  <c r="Z29" i="1"/>
  <c r="AA29" i="1"/>
  <c r="Z26" i="1"/>
  <c r="AA26" i="1"/>
  <c r="Z27" i="1"/>
  <c r="AA27" i="1"/>
  <c r="Z28" i="1"/>
  <c r="AA28" i="1"/>
  <c r="Z30" i="1"/>
  <c r="AA30" i="1"/>
  <c r="Z31" i="1"/>
  <c r="AA31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G26" i="1"/>
  <c r="H26" i="1"/>
  <c r="G27" i="1"/>
  <c r="AB27" i="1" s="1"/>
  <c r="AC27" i="1" s="1"/>
  <c r="H27" i="1"/>
  <c r="G28" i="1"/>
  <c r="AB28" i="1" s="1"/>
  <c r="AC28" i="1" s="1"/>
  <c r="H28" i="1"/>
  <c r="G29" i="1"/>
  <c r="AB29" i="1" s="1"/>
  <c r="AC29" i="1" s="1"/>
  <c r="H29" i="1"/>
  <c r="G30" i="1"/>
  <c r="AB30" i="1" s="1"/>
  <c r="AC30" i="1" s="1"/>
  <c r="H30" i="1"/>
  <c r="G31" i="1"/>
  <c r="AB31" i="1" s="1"/>
  <c r="AC31" i="1" s="1"/>
  <c r="H31" i="1"/>
  <c r="G32" i="1"/>
  <c r="H32" i="1"/>
  <c r="Z5" i="1"/>
  <c r="Z6" i="1"/>
  <c r="Z7" i="1"/>
  <c r="Z8" i="1"/>
  <c r="Z9" i="1"/>
  <c r="Z10" i="1"/>
  <c r="Z11" i="1"/>
  <c r="Z12" i="1"/>
  <c r="Z13" i="1"/>
  <c r="AA13" i="1" s="1"/>
  <c r="Z14" i="1"/>
  <c r="AA14" i="1" s="1"/>
  <c r="Z15" i="1"/>
  <c r="AA15" i="1" s="1"/>
  <c r="Z16" i="1"/>
  <c r="AA16" i="1" s="1"/>
  <c r="Z17" i="1"/>
  <c r="Z18" i="1"/>
  <c r="Z19" i="1"/>
  <c r="Z20" i="1"/>
  <c r="Z21" i="1"/>
  <c r="Z22" i="1"/>
  <c r="Z23" i="1"/>
  <c r="Z24" i="1"/>
  <c r="Z25" i="1"/>
  <c r="AA25" i="1" s="1"/>
  <c r="Z4" i="1"/>
  <c r="R5" i="1"/>
  <c r="R6" i="1"/>
  <c r="R7" i="1"/>
  <c r="R8" i="1"/>
  <c r="R9" i="1"/>
  <c r="R10" i="1"/>
  <c r="R11" i="1"/>
  <c r="R12" i="1"/>
  <c r="R13" i="1"/>
  <c r="S13" i="1" s="1"/>
  <c r="R14" i="1"/>
  <c r="S14" i="1" s="1"/>
  <c r="R15" i="1"/>
  <c r="S15" i="1" s="1"/>
  <c r="R16" i="1"/>
  <c r="S16" i="1" s="1"/>
  <c r="R17" i="1"/>
  <c r="R18" i="1"/>
  <c r="R19" i="1"/>
  <c r="R20" i="1"/>
  <c r="R21" i="1"/>
  <c r="R22" i="1"/>
  <c r="R23" i="1"/>
  <c r="R24" i="1"/>
  <c r="R25" i="1"/>
  <c r="S25" i="1" s="1"/>
  <c r="R4" i="1"/>
  <c r="G5" i="1"/>
  <c r="AB5" i="1" s="1"/>
  <c r="G6" i="1"/>
  <c r="G7" i="1"/>
  <c r="AB7" i="1" s="1"/>
  <c r="G8" i="1"/>
  <c r="AB8" i="1" s="1"/>
  <c r="G9" i="1"/>
  <c r="G10" i="1"/>
  <c r="AB10" i="1" s="1"/>
  <c r="G11" i="1"/>
  <c r="AB11" i="1" s="1"/>
  <c r="G12" i="1"/>
  <c r="AB12" i="1" s="1"/>
  <c r="G13" i="1"/>
  <c r="G14" i="1"/>
  <c r="G15" i="1"/>
  <c r="G16" i="1"/>
  <c r="G17" i="1"/>
  <c r="AB17" i="1" s="1"/>
  <c r="G18" i="1"/>
  <c r="AB18" i="1" s="1"/>
  <c r="G19" i="1"/>
  <c r="AB19" i="1" s="1"/>
  <c r="G20" i="1"/>
  <c r="AB20" i="1" s="1"/>
  <c r="G21" i="1"/>
  <c r="AB21" i="1" s="1"/>
  <c r="G22" i="1"/>
  <c r="AB22" i="1" s="1"/>
  <c r="G23" i="1"/>
  <c r="AB23" i="1" s="1"/>
  <c r="G24" i="1"/>
  <c r="AB24" i="1" s="1"/>
  <c r="G25" i="1"/>
  <c r="AB25" i="1" s="1"/>
  <c r="AC25" i="1" s="1"/>
  <c r="G4" i="1"/>
  <c r="AB4" i="1" s="1"/>
  <c r="AC5" i="1"/>
  <c r="AC7" i="1"/>
  <c r="AC8" i="1"/>
  <c r="AC10" i="1"/>
  <c r="AC11" i="1"/>
  <c r="AC12" i="1"/>
  <c r="AC17" i="1"/>
  <c r="AC18" i="1"/>
  <c r="AC19" i="1"/>
  <c r="AC20" i="1"/>
  <c r="AC21" i="1"/>
  <c r="AC22" i="1"/>
  <c r="AC23" i="1"/>
  <c r="AC24" i="1"/>
  <c r="AC4" i="1"/>
  <c r="AA5" i="1"/>
  <c r="AA6" i="1"/>
  <c r="AA7" i="1"/>
  <c r="AA8" i="1"/>
  <c r="AA9" i="1"/>
  <c r="AA10" i="1"/>
  <c r="AA11" i="1"/>
  <c r="AA12" i="1"/>
  <c r="AA17" i="1"/>
  <c r="AA18" i="1"/>
  <c r="AA19" i="1"/>
  <c r="AA20" i="1"/>
  <c r="AA21" i="1"/>
  <c r="AA22" i="1"/>
  <c r="AA23" i="1"/>
  <c r="AA24" i="1"/>
  <c r="AA4" i="1"/>
  <c r="S5" i="1"/>
  <c r="S6" i="1"/>
  <c r="S7" i="1"/>
  <c r="S8" i="1"/>
  <c r="S9" i="1"/>
  <c r="S10" i="1"/>
  <c r="S11" i="1"/>
  <c r="S12" i="1"/>
  <c r="S17" i="1"/>
  <c r="S18" i="1"/>
  <c r="S19" i="1"/>
  <c r="S20" i="1"/>
  <c r="S21" i="1"/>
  <c r="S22" i="1"/>
  <c r="S23" i="1"/>
  <c r="S24" i="1"/>
  <c r="S4" i="1"/>
  <c r="H5" i="1"/>
  <c r="H7" i="1"/>
  <c r="H8" i="1"/>
  <c r="H10" i="1"/>
  <c r="H11" i="1"/>
  <c r="H12" i="1"/>
  <c r="H17" i="1"/>
  <c r="H18" i="1"/>
  <c r="H19" i="1"/>
  <c r="H20" i="1"/>
  <c r="H21" i="1"/>
  <c r="H22" i="1"/>
  <c r="H23" i="1"/>
  <c r="H24" i="1"/>
  <c r="H25" i="1"/>
  <c r="H4" i="1"/>
  <c r="E11" i="2"/>
  <c r="E10" i="2"/>
  <c r="E9" i="2"/>
  <c r="E8" i="2"/>
  <c r="E7" i="2"/>
  <c r="E6" i="2"/>
  <c r="E5" i="2"/>
  <c r="E4" i="2"/>
  <c r="E3" i="2"/>
  <c r="AB26" i="1" l="1"/>
  <c r="AC26" i="1" s="1"/>
  <c r="H16" i="1"/>
  <c r="AB16" i="1"/>
  <c r="AC16" i="1" s="1"/>
  <c r="H15" i="1"/>
  <c r="AB15" i="1"/>
  <c r="AC15" i="1" s="1"/>
  <c r="H14" i="1"/>
  <c r="AB14" i="1"/>
  <c r="AC14" i="1" s="1"/>
  <c r="H13" i="1"/>
  <c r="AB13" i="1"/>
  <c r="AC13" i="1" s="1"/>
  <c r="H9" i="1"/>
  <c r="AB9" i="1"/>
  <c r="AC9" i="1" s="1"/>
  <c r="H6" i="1"/>
  <c r="AB6" i="1"/>
  <c r="AC6" i="1" s="1"/>
</calcChain>
</file>

<file path=xl/sharedStrings.xml><?xml version="1.0" encoding="utf-8"?>
<sst xmlns="http://schemas.openxmlformats.org/spreadsheetml/2006/main" count="92" uniqueCount="86">
  <si>
    <t>Y11 Lang AP2</t>
  </si>
  <si>
    <t>Y11 Lit AP2</t>
  </si>
  <si>
    <t>Y11 Civ AP2</t>
  </si>
  <si>
    <t>Y11 AP2 Overall</t>
  </si>
  <si>
    <t>Q1 /20</t>
  </si>
  <si>
    <t>Q2 /35</t>
  </si>
  <si>
    <t>Q3 /35</t>
  </si>
  <si>
    <t>Q4/5 /10</t>
  </si>
  <si>
    <t>Total /100</t>
  </si>
  <si>
    <t>Grade</t>
  </si>
  <si>
    <t>Q1 /7</t>
  </si>
  <si>
    <t>Q2 /10</t>
  </si>
  <si>
    <t>Q3 /4</t>
  </si>
  <si>
    <t>Q4 /4</t>
  </si>
  <si>
    <t>Q5 /9</t>
  </si>
  <si>
    <t>Q6 /6</t>
  </si>
  <si>
    <t>Q7 /4</t>
  </si>
  <si>
    <t>Q8 /16</t>
  </si>
  <si>
    <t>Total /60</t>
  </si>
  <si>
    <t>Q2 /7</t>
  </si>
  <si>
    <t>Q4 /6</t>
  </si>
  <si>
    <t>Q5 /4</t>
  </si>
  <si>
    <t>Q6 /12</t>
  </si>
  <si>
    <t>Total /40</t>
  </si>
  <si>
    <t>Total /200</t>
  </si>
  <si>
    <t>Predicted grade</t>
  </si>
  <si>
    <t>11A/LA1</t>
  </si>
  <si>
    <t>Adeniji</t>
  </si>
  <si>
    <t>Nailah</t>
  </si>
  <si>
    <t>Aguiar Gonzaga dos Anjos</t>
  </si>
  <si>
    <t>Gustavo</t>
  </si>
  <si>
    <t>Aguirre</t>
  </si>
  <si>
    <t>Imanol</t>
  </si>
  <si>
    <t>Ali</t>
  </si>
  <si>
    <t>Hassan</t>
  </si>
  <si>
    <t>Asabor</t>
  </si>
  <si>
    <t>Jaydah</t>
  </si>
  <si>
    <t>Boateng</t>
  </si>
  <si>
    <t>Deborah</t>
  </si>
  <si>
    <t>Bulnes</t>
  </si>
  <si>
    <t>Daniela</t>
  </si>
  <si>
    <t>Campbell</t>
  </si>
  <si>
    <t>Shenay</t>
  </si>
  <si>
    <t>Codrington</t>
  </si>
  <si>
    <t>Sharntey</t>
  </si>
  <si>
    <t>Da Costa Xavier De Carvalho</t>
  </si>
  <si>
    <t>Maria Inês</t>
  </si>
  <si>
    <t>Dunkley</t>
  </si>
  <si>
    <t>Camari</t>
  </si>
  <si>
    <t>Joseph</t>
  </si>
  <si>
    <t>Aniya</t>
  </si>
  <si>
    <t>Kouadia-Gaule</t>
  </si>
  <si>
    <t>Behrane</t>
  </si>
  <si>
    <t>Kourouma</t>
  </si>
  <si>
    <t>Aicha</t>
  </si>
  <si>
    <t>McLeod</t>
  </si>
  <si>
    <t>Xavier</t>
  </si>
  <si>
    <t>Messerschmidt</t>
  </si>
  <si>
    <t>Bea</t>
  </si>
  <si>
    <t>Mohammed</t>
  </si>
  <si>
    <t>Alia</t>
  </si>
  <si>
    <t>Musse</t>
  </si>
  <si>
    <t>Ibti</t>
  </si>
  <si>
    <t>Nelson</t>
  </si>
  <si>
    <t>Courtney</t>
  </si>
  <si>
    <t>Noorzoe</t>
  </si>
  <si>
    <t>Ahmadbilal</t>
  </si>
  <si>
    <t>Orellana Salazar</t>
  </si>
  <si>
    <t>Vianca</t>
  </si>
  <si>
    <t>Phillips</t>
  </si>
  <si>
    <t>Skylah</t>
  </si>
  <si>
    <t>Roshanali</t>
  </si>
  <si>
    <t>Ismiel</t>
  </si>
  <si>
    <t>Rudayna</t>
  </si>
  <si>
    <t>Ryan</t>
  </si>
  <si>
    <t>Eva</t>
  </si>
  <si>
    <t>Silva</t>
  </si>
  <si>
    <t>Barbara</t>
  </si>
  <si>
    <t>Solomon</t>
  </si>
  <si>
    <t>Uel</t>
  </si>
  <si>
    <t>Williams</t>
  </si>
  <si>
    <t>Chloe</t>
  </si>
  <si>
    <t>LANG</t>
  </si>
  <si>
    <t>LIT</t>
  </si>
  <si>
    <t>CIV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</si>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</sst>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" fontId="0" fillId="2" borderId="3" xfId="0" applyNumberFormat="1" applyFill="1" applyBorder="1" applyAlignment="1">
      <alignment horizontal="center"/>
    </xf>
    <xf numFmtId="16" fontId="0" fillId="2" borderId="4" xfId="0" applyNumberFormat="1" applyFill="1" applyBorder="1" applyAlignment="1">
      <alignment horizontal="center"/>
    </xf>
    <xf numFmtId="0" fontId="1" fillId="0" borderId="0" xfId="0" applyFont="1"/>
    <xf numFmtId="16" fontId="1" fillId="2" borderId="4" xfId="0" applyNumberFormat="1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 wrapText="1"/>
    </xf>
    <xf numFmtId="0" fontId="0" fillId="0" borderId="4" xfId="0" applyBorder="1"/>
    <xf numFmtId="0" fontId="0" fillId="6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3" borderId="4" xfId="0" applyFill="1" applyBorder="1"/>
    <xf numFmtId="0" fontId="4" fillId="3" borderId="4" xfId="0" applyFont="1" applyFill="1" applyBorder="1"/>
    <xf numFmtId="0" fontId="5" fillId="3" borderId="4" xfId="0" applyFont="1" applyFill="1" applyBorder="1"/>
    <xf numFmtId="0" fontId="2" fillId="3" borderId="4" xfId="0" applyFont="1" applyFill="1" applyBorder="1"/>
    <xf numFmtId="0" fontId="2" fillId="0" borderId="0" xfId="0" applyFont="1"/>
    <xf numFmtId="0" fontId="0" fillId="0" borderId="5" xfId="0" applyBorder="1"/>
    <xf numFmtId="0" fontId="6" fillId="0" borderId="0" xfId="0" applyFont="1"/>
    <xf numFmtId="0" fontId="0" fillId="2" borderId="0" xfId="0" applyFill="1" applyAlignment="1">
      <alignment horizontal="center" wrapText="1"/>
    </xf>
    <xf numFmtId="0" fontId="0" fillId="6" borderId="0" xfId="0" applyFill="1"/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6137-8C75-45EA-B2CB-0AFB20FAC286}">
  <dimension ref="A1:AE50"/>
  <sheetViews>
    <sheetView tabSelected="1" topLeftCell="A5" zoomScale="70" zoomScaleNormal="70" workbookViewId="0">
      <selection activeCell="J1" sqref="J1:Q1048576"/>
    </sheetView>
  </sheetViews>
  <sheetFormatPr defaultRowHeight="15" customHeight="1"/>
  <cols>
    <col min="1" max="1" width="9.140625" customWidth="1"/>
    <col min="2" max="2" width="11.140625" customWidth="1"/>
    <col min="3" max="4" width="8.7109375" hidden="1" customWidth="1"/>
    <col min="5" max="5" width="8.85546875" hidden="1" customWidth="1"/>
    <col min="6" max="6" width="8.7109375" hidden="1" customWidth="1"/>
    <col min="7" max="9" width="9.140625" customWidth="1"/>
    <col min="10" max="17" width="8.7109375" hidden="1" customWidth="1"/>
    <col min="18" max="19" width="9.140625" customWidth="1"/>
    <col min="20" max="25" width="8.7109375" hidden="1" customWidth="1"/>
    <col min="26" max="27" width="9.140625" customWidth="1"/>
  </cols>
  <sheetData>
    <row r="1" spans="1:31">
      <c r="C1" s="19" t="s">
        <v>0</v>
      </c>
      <c r="D1" s="20"/>
      <c r="E1" s="20"/>
      <c r="F1" s="20"/>
      <c r="G1" s="20"/>
      <c r="H1" s="21"/>
      <c r="I1" s="17"/>
      <c r="J1" s="19" t="s">
        <v>1</v>
      </c>
      <c r="K1" s="20"/>
      <c r="L1" s="20"/>
      <c r="M1" s="20"/>
      <c r="N1" s="20"/>
      <c r="O1" s="20"/>
      <c r="P1" s="20"/>
      <c r="Q1" s="20"/>
      <c r="R1" s="20"/>
      <c r="S1" s="21"/>
      <c r="T1" s="19" t="s">
        <v>2</v>
      </c>
      <c r="U1" s="20"/>
      <c r="V1" s="20"/>
      <c r="W1" s="20"/>
      <c r="X1" s="20"/>
      <c r="Y1" s="20"/>
      <c r="Z1" s="20"/>
      <c r="AA1" s="21"/>
      <c r="AB1" s="19" t="s">
        <v>3</v>
      </c>
      <c r="AC1" s="20"/>
      <c r="AD1" s="20"/>
    </row>
    <row r="2" spans="1:31" ht="23.25">
      <c r="A2" s="3"/>
      <c r="B2" s="3"/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/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9</v>
      </c>
      <c r="T2" s="1" t="s">
        <v>10</v>
      </c>
      <c r="U2" s="1" t="s">
        <v>19</v>
      </c>
      <c r="V2" s="1" t="s">
        <v>12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9</v>
      </c>
      <c r="AB2" s="1" t="s">
        <v>24</v>
      </c>
      <c r="AC2" s="1" t="s">
        <v>9</v>
      </c>
      <c r="AD2" s="5" t="s">
        <v>25</v>
      </c>
    </row>
    <row r="3" spans="1:31">
      <c r="A3" s="4" t="s">
        <v>26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1">
      <c r="A4" s="16" t="s">
        <v>27</v>
      </c>
      <c r="B4" s="16" t="s">
        <v>28</v>
      </c>
      <c r="C4" s="6">
        <v>13</v>
      </c>
      <c r="D4" s="6">
        <v>20</v>
      </c>
      <c r="E4" s="6">
        <v>19</v>
      </c>
      <c r="F4" s="6">
        <v>0</v>
      </c>
      <c r="G4" s="7">
        <f>SUM(C4:F4)</f>
        <v>52</v>
      </c>
      <c r="H4" s="7" t="str">
        <f>IF(G4&gt;=91, "9", IF(G4&gt;=85, "8", IF(G4&gt;=79, "7", IF(G4&gt;=70, "6", IF(G4&gt;=62, "5", IF(G4&gt;=52, "4", IF(G4&gt;=39, "3", IF(G4&gt;=27, "2", IF(G4&gt;=15, "1", "U")))))))))</f>
        <v>4</v>
      </c>
      <c r="I4" s="7"/>
      <c r="J4" s="6">
        <v>5</v>
      </c>
      <c r="K4" s="6">
        <v>8</v>
      </c>
      <c r="L4" s="6">
        <v>3</v>
      </c>
      <c r="M4" s="6">
        <v>0</v>
      </c>
      <c r="N4" s="6">
        <v>5</v>
      </c>
      <c r="O4" s="6">
        <v>2</v>
      </c>
      <c r="P4" s="6">
        <v>3</v>
      </c>
      <c r="Q4" s="6">
        <v>5</v>
      </c>
      <c r="R4" s="8">
        <f>SUM(J4:Q4)</f>
        <v>31</v>
      </c>
      <c r="S4" s="8" t="str">
        <f>IF(R4&gt;=47, "9", IF(R4&gt;=43, "8", IF(R4&gt;=40, "7", IF(R4&gt;=35, "6", IF(R4&gt;=30, "5", IF(R4&gt;=26, "4", IF(R4&gt;=21, "3", IF(R4&gt;=15, "2", IF(R4&gt;=9, "1", "U")))))))))</f>
        <v>5</v>
      </c>
      <c r="T4" s="6">
        <v>5</v>
      </c>
      <c r="U4" s="6">
        <v>4</v>
      </c>
      <c r="V4" s="6">
        <v>3</v>
      </c>
      <c r="W4" s="6">
        <v>1</v>
      </c>
      <c r="X4" s="6">
        <v>3</v>
      </c>
      <c r="Y4" s="6">
        <v>7</v>
      </c>
      <c r="Z4" s="9">
        <f>SUM(T4:Y4)</f>
        <v>23</v>
      </c>
      <c r="AA4" s="9" t="str">
        <f>IF(Z4&gt;=34, "9", IF(Z4&gt;=29, "8", IF(Z4&gt;=24, "7", IF(Z4&gt;=22, "6", IF(Z4&gt;=19, "5", IF(Z4&gt;=17, "4", IF(Z4&gt;=14, "3", IF(Z4&gt;=12, "2", IF(Z4&gt;=10, "1", "U")))))))))</f>
        <v>6</v>
      </c>
      <c r="AB4" s="10">
        <f>SUM(G4+R4+Z4)</f>
        <v>106</v>
      </c>
      <c r="AC4" s="10" t="str">
        <f>IF(AB4&gt;=172, "9", IF(AB4&gt;=158, "8", IF(AB4&gt;=144, "7", IF(AB4&gt;=127, "6", IF(AB4&gt;=111, "5", IF(AB4&gt;=95, "4", IF(AB4&gt;=74, "3", IF(AB4&gt;=54, "2", IF(AB4&gt;=34, "1", "U")))))))))</f>
        <v>4</v>
      </c>
      <c r="AD4" s="11"/>
      <c r="AE4">
        <f>AB4/2</f>
        <v>53</v>
      </c>
    </row>
    <row r="5" spans="1:31">
      <c r="A5" s="16" t="s">
        <v>29</v>
      </c>
      <c r="B5" s="16" t="s">
        <v>30</v>
      </c>
      <c r="C5" s="6">
        <v>14</v>
      </c>
      <c r="D5" s="6">
        <v>22</v>
      </c>
      <c r="E5" s="6">
        <v>16</v>
      </c>
      <c r="F5" s="6">
        <v>5</v>
      </c>
      <c r="G5" s="7">
        <f t="shared" ref="G5:G25" si="0">SUM(C5:F5)</f>
        <v>57</v>
      </c>
      <c r="H5" s="7" t="str">
        <f t="shared" ref="H5:H25" si="1">IF(G5&gt;=91, "9", IF(G5&gt;=85, "8", IF(G5&gt;=79, "7", IF(G5&gt;=70, "6", IF(G5&gt;=62, "5", IF(G5&gt;=52, "4", IF(G5&gt;=39, "3", IF(G5&gt;=27, "2", IF(G5&gt;=15, "1", "U")))))))))</f>
        <v>4</v>
      </c>
      <c r="I5" s="7"/>
      <c r="J5" s="6">
        <v>3</v>
      </c>
      <c r="K5" s="6">
        <v>2</v>
      </c>
      <c r="L5" s="6">
        <v>0</v>
      </c>
      <c r="M5" s="6">
        <v>0</v>
      </c>
      <c r="N5" s="6">
        <v>9</v>
      </c>
      <c r="O5" s="6">
        <v>4</v>
      </c>
      <c r="P5" s="6">
        <v>0</v>
      </c>
      <c r="Q5" s="6">
        <v>11</v>
      </c>
      <c r="R5" s="8">
        <f t="shared" ref="R5:R25" si="2">SUM(J5:Q5)</f>
        <v>29</v>
      </c>
      <c r="S5" s="8" t="str">
        <f t="shared" ref="S5:S25" si="3">IF(R5&gt;=47, "9", IF(R5&gt;=43, "8", IF(R5&gt;=40, "7", IF(R5&gt;=35, "6", IF(R5&gt;=30, "5", IF(R5&gt;=26, "4", IF(R5&gt;=21, "3", IF(R5&gt;=15, "2", IF(R5&gt;=9, "1", "U")))))))))</f>
        <v>4</v>
      </c>
      <c r="T5" s="6">
        <v>4</v>
      </c>
      <c r="U5" s="6">
        <v>3</v>
      </c>
      <c r="V5" s="6">
        <v>4</v>
      </c>
      <c r="W5" s="6">
        <v>2</v>
      </c>
      <c r="X5" s="6">
        <v>2</v>
      </c>
      <c r="Y5" s="6">
        <v>6</v>
      </c>
      <c r="Z5" s="9">
        <f t="shared" ref="Z5:Z25" si="4">SUM(T5:Y5)</f>
        <v>21</v>
      </c>
      <c r="AA5" s="9" t="str">
        <f t="shared" ref="AA5:AA25" si="5">IF(Z5&gt;=34, "9", IF(Z5&gt;=29, "8", IF(Z5&gt;=24, "7", IF(Z5&gt;=22, "6", IF(Z5&gt;=19, "5", IF(Z5&gt;=17, "4", IF(Z5&gt;=14, "3", IF(Z5&gt;=12, "2", IF(Z5&gt;=10, "1", "U")))))))))</f>
        <v>5</v>
      </c>
      <c r="AB5" s="10">
        <f t="shared" ref="AB5:AB25" si="6">SUM(G5+R5+Z5)</f>
        <v>107</v>
      </c>
      <c r="AC5" s="10" t="str">
        <f t="shared" ref="AC5:AC25" si="7">IF(AB5&gt;=172, "9", IF(AB5&gt;=158, "8", IF(AB5&gt;=144, "7", IF(AB5&gt;=127, "6", IF(AB5&gt;=111, "5", IF(AB5&gt;=95, "4", IF(AB5&gt;=74, "3", IF(AB5&gt;=54, "2", IF(AB5&gt;=34, "1", "U")))))))))</f>
        <v>4</v>
      </c>
      <c r="AD5" s="12"/>
      <c r="AE5">
        <f t="shared" ref="AE5:AE31" si="8">AB5/2</f>
        <v>53.5</v>
      </c>
    </row>
    <row r="6" spans="1:31">
      <c r="A6" s="16" t="s">
        <v>31</v>
      </c>
      <c r="B6" s="16" t="s">
        <v>32</v>
      </c>
      <c r="C6" s="6">
        <v>18</v>
      </c>
      <c r="D6" s="6">
        <v>16</v>
      </c>
      <c r="E6" s="6">
        <v>24</v>
      </c>
      <c r="F6" s="6">
        <v>4</v>
      </c>
      <c r="G6" s="7">
        <f t="shared" si="0"/>
        <v>62</v>
      </c>
      <c r="H6" s="7" t="str">
        <f t="shared" si="1"/>
        <v>5</v>
      </c>
      <c r="I6" s="7"/>
      <c r="J6" s="6">
        <v>6</v>
      </c>
      <c r="K6" s="6">
        <v>4</v>
      </c>
      <c r="L6" s="6">
        <v>2</v>
      </c>
      <c r="M6" s="6">
        <v>1</v>
      </c>
      <c r="N6" s="6">
        <v>6</v>
      </c>
      <c r="O6" s="6">
        <v>4</v>
      </c>
      <c r="P6" s="6">
        <v>3</v>
      </c>
      <c r="Q6" s="6">
        <v>7</v>
      </c>
      <c r="R6" s="8">
        <f t="shared" si="2"/>
        <v>33</v>
      </c>
      <c r="S6" s="8" t="str">
        <f t="shared" si="3"/>
        <v>5</v>
      </c>
      <c r="T6" s="6">
        <v>6</v>
      </c>
      <c r="U6" s="6">
        <v>5</v>
      </c>
      <c r="V6" s="6">
        <v>4</v>
      </c>
      <c r="W6" s="6">
        <v>5</v>
      </c>
      <c r="X6" s="6">
        <v>3</v>
      </c>
      <c r="Y6" s="6">
        <v>7</v>
      </c>
      <c r="Z6" s="9">
        <f t="shared" si="4"/>
        <v>30</v>
      </c>
      <c r="AA6" s="9" t="str">
        <f t="shared" si="5"/>
        <v>8</v>
      </c>
      <c r="AB6" s="10">
        <f t="shared" si="6"/>
        <v>125</v>
      </c>
      <c r="AC6" s="10" t="str">
        <f t="shared" si="7"/>
        <v>5</v>
      </c>
      <c r="AD6" s="13"/>
      <c r="AE6">
        <f t="shared" si="8"/>
        <v>62.5</v>
      </c>
    </row>
    <row r="7" spans="1:31">
      <c r="A7" s="16" t="s">
        <v>33</v>
      </c>
      <c r="B7" s="16" t="s">
        <v>34</v>
      </c>
      <c r="C7" s="6">
        <v>8</v>
      </c>
      <c r="D7" s="6">
        <v>1</v>
      </c>
      <c r="E7" s="6">
        <v>5</v>
      </c>
      <c r="F7" s="6">
        <v>0</v>
      </c>
      <c r="G7" s="7">
        <f t="shared" si="0"/>
        <v>14</v>
      </c>
      <c r="H7" s="7" t="str">
        <f t="shared" si="1"/>
        <v>U</v>
      </c>
      <c r="I7" s="7"/>
      <c r="J7" s="6">
        <v>4</v>
      </c>
      <c r="K7" s="6">
        <v>6</v>
      </c>
      <c r="L7" s="6">
        <v>3</v>
      </c>
      <c r="M7" s="6">
        <v>0</v>
      </c>
      <c r="N7" s="6">
        <v>0</v>
      </c>
      <c r="O7" s="6">
        <v>0</v>
      </c>
      <c r="P7" s="6">
        <v>1</v>
      </c>
      <c r="Q7" s="6">
        <v>0</v>
      </c>
      <c r="R7" s="8">
        <f t="shared" si="2"/>
        <v>14</v>
      </c>
      <c r="S7" s="8" t="str">
        <f t="shared" si="3"/>
        <v>1</v>
      </c>
      <c r="T7" s="6">
        <v>1</v>
      </c>
      <c r="U7" s="6">
        <v>2</v>
      </c>
      <c r="V7" s="6">
        <v>3</v>
      </c>
      <c r="W7" s="6">
        <v>0</v>
      </c>
      <c r="X7" s="6">
        <v>0</v>
      </c>
      <c r="Y7" s="6">
        <v>2</v>
      </c>
      <c r="Z7" s="9">
        <f t="shared" si="4"/>
        <v>8</v>
      </c>
      <c r="AA7" s="9" t="str">
        <f t="shared" si="5"/>
        <v>U</v>
      </c>
      <c r="AB7" s="10">
        <f t="shared" si="6"/>
        <v>36</v>
      </c>
      <c r="AC7" s="10" t="str">
        <f t="shared" si="7"/>
        <v>1</v>
      </c>
      <c r="AD7" s="11"/>
      <c r="AE7">
        <f t="shared" si="8"/>
        <v>18</v>
      </c>
    </row>
    <row r="8" spans="1:31">
      <c r="A8" s="16" t="s">
        <v>35</v>
      </c>
      <c r="B8" s="16" t="s">
        <v>36</v>
      </c>
      <c r="C8" s="6">
        <v>14</v>
      </c>
      <c r="D8" s="6">
        <v>12</v>
      </c>
      <c r="E8" s="6">
        <v>20</v>
      </c>
      <c r="F8" s="6">
        <v>1</v>
      </c>
      <c r="G8" s="7">
        <f t="shared" si="0"/>
        <v>47</v>
      </c>
      <c r="H8" s="7" t="str">
        <f t="shared" si="1"/>
        <v>3</v>
      </c>
      <c r="I8" s="7"/>
      <c r="J8" s="6">
        <v>5</v>
      </c>
      <c r="K8" s="6">
        <v>6</v>
      </c>
      <c r="L8" s="6">
        <v>4</v>
      </c>
      <c r="M8" s="6">
        <v>1</v>
      </c>
      <c r="N8" s="6">
        <v>5</v>
      </c>
      <c r="O8" s="6">
        <v>0</v>
      </c>
      <c r="P8" s="6">
        <v>4</v>
      </c>
      <c r="Q8" s="6">
        <v>7</v>
      </c>
      <c r="R8" s="8">
        <f t="shared" si="2"/>
        <v>32</v>
      </c>
      <c r="S8" s="8" t="str">
        <f t="shared" si="3"/>
        <v>5</v>
      </c>
      <c r="T8" s="6">
        <v>4</v>
      </c>
      <c r="U8" s="6">
        <v>0</v>
      </c>
      <c r="V8" s="6">
        <v>3</v>
      </c>
      <c r="W8" s="6">
        <v>2</v>
      </c>
      <c r="X8" s="6">
        <v>1</v>
      </c>
      <c r="Y8" s="6">
        <v>3</v>
      </c>
      <c r="Z8" s="9">
        <f t="shared" si="4"/>
        <v>13</v>
      </c>
      <c r="AA8" s="9" t="str">
        <f t="shared" si="5"/>
        <v>2</v>
      </c>
      <c r="AB8" s="10">
        <f t="shared" si="6"/>
        <v>92</v>
      </c>
      <c r="AC8" s="10" t="str">
        <f t="shared" si="7"/>
        <v>3</v>
      </c>
      <c r="AD8" s="11"/>
      <c r="AE8">
        <f t="shared" si="8"/>
        <v>46</v>
      </c>
    </row>
    <row r="9" spans="1:31">
      <c r="A9" s="16" t="s">
        <v>37</v>
      </c>
      <c r="B9" s="16" t="s">
        <v>38</v>
      </c>
      <c r="C9" s="6">
        <v>20</v>
      </c>
      <c r="D9" s="6">
        <v>30</v>
      </c>
      <c r="E9" s="6">
        <v>31</v>
      </c>
      <c r="F9" s="6">
        <v>8</v>
      </c>
      <c r="G9" s="7">
        <f t="shared" si="0"/>
        <v>89</v>
      </c>
      <c r="H9" s="7" t="str">
        <f t="shared" si="1"/>
        <v>8</v>
      </c>
      <c r="I9" s="7"/>
      <c r="J9" s="6">
        <v>7</v>
      </c>
      <c r="K9" s="6">
        <v>9</v>
      </c>
      <c r="L9" s="6">
        <v>4</v>
      </c>
      <c r="M9" s="6">
        <v>2</v>
      </c>
      <c r="N9" s="6">
        <v>8</v>
      </c>
      <c r="O9" s="6">
        <v>6</v>
      </c>
      <c r="P9" s="6">
        <v>3</v>
      </c>
      <c r="Q9" s="6">
        <v>7</v>
      </c>
      <c r="R9" s="8">
        <f t="shared" si="2"/>
        <v>46</v>
      </c>
      <c r="S9" s="8" t="str">
        <f t="shared" si="3"/>
        <v>8</v>
      </c>
      <c r="T9" s="6">
        <v>7</v>
      </c>
      <c r="U9" s="6">
        <v>4</v>
      </c>
      <c r="V9" s="6">
        <v>3</v>
      </c>
      <c r="W9" s="6">
        <v>2</v>
      </c>
      <c r="X9" s="6">
        <v>1</v>
      </c>
      <c r="Y9" s="6">
        <v>4</v>
      </c>
      <c r="Z9" s="9">
        <f t="shared" si="4"/>
        <v>21</v>
      </c>
      <c r="AA9" s="9" t="str">
        <f t="shared" si="5"/>
        <v>5</v>
      </c>
      <c r="AB9" s="10">
        <f t="shared" si="6"/>
        <v>156</v>
      </c>
      <c r="AC9" s="10" t="str">
        <f t="shared" si="7"/>
        <v>7</v>
      </c>
      <c r="AD9" s="13"/>
      <c r="AE9">
        <f t="shared" si="8"/>
        <v>78</v>
      </c>
    </row>
    <row r="10" spans="1:31">
      <c r="A10" s="16" t="s">
        <v>39</v>
      </c>
      <c r="B10" s="16" t="s">
        <v>40</v>
      </c>
      <c r="C10" s="6">
        <v>12</v>
      </c>
      <c r="D10" s="6">
        <v>21</v>
      </c>
      <c r="E10" s="6">
        <v>15</v>
      </c>
      <c r="F10" s="6">
        <v>5</v>
      </c>
      <c r="G10" s="7">
        <f t="shared" si="0"/>
        <v>53</v>
      </c>
      <c r="H10" s="7" t="str">
        <f t="shared" si="1"/>
        <v>4</v>
      </c>
      <c r="I10" s="7"/>
      <c r="J10" s="6">
        <v>2</v>
      </c>
      <c r="K10" s="6">
        <v>5</v>
      </c>
      <c r="L10" s="6">
        <v>2</v>
      </c>
      <c r="M10" s="6">
        <v>0</v>
      </c>
      <c r="N10" s="6">
        <v>2</v>
      </c>
      <c r="O10" s="6">
        <v>1</v>
      </c>
      <c r="P10" s="6">
        <v>1</v>
      </c>
      <c r="Q10" s="6">
        <v>0</v>
      </c>
      <c r="R10" s="8">
        <f t="shared" si="2"/>
        <v>13</v>
      </c>
      <c r="S10" s="8" t="str">
        <f t="shared" si="3"/>
        <v>1</v>
      </c>
      <c r="T10" s="6">
        <v>1</v>
      </c>
      <c r="U10" s="6">
        <v>0</v>
      </c>
      <c r="V10" s="6">
        <v>3</v>
      </c>
      <c r="W10" s="6">
        <v>0</v>
      </c>
      <c r="X10" s="6">
        <v>2</v>
      </c>
      <c r="Y10" s="6">
        <v>2</v>
      </c>
      <c r="Z10" s="9">
        <f t="shared" si="4"/>
        <v>8</v>
      </c>
      <c r="AA10" s="9" t="str">
        <f t="shared" si="5"/>
        <v>U</v>
      </c>
      <c r="AB10" s="10">
        <f t="shared" si="6"/>
        <v>74</v>
      </c>
      <c r="AC10" s="10" t="str">
        <f t="shared" si="7"/>
        <v>3</v>
      </c>
      <c r="AD10" s="11"/>
      <c r="AE10">
        <f t="shared" si="8"/>
        <v>37</v>
      </c>
    </row>
    <row r="11" spans="1:31">
      <c r="A11" s="16" t="s">
        <v>41</v>
      </c>
      <c r="B11" s="16" t="s">
        <v>42</v>
      </c>
      <c r="C11" s="6">
        <v>18</v>
      </c>
      <c r="D11" s="6">
        <v>27</v>
      </c>
      <c r="E11" s="6">
        <v>26</v>
      </c>
      <c r="F11" s="6">
        <v>9</v>
      </c>
      <c r="G11" s="7">
        <f t="shared" si="0"/>
        <v>80</v>
      </c>
      <c r="H11" s="7" t="str">
        <f t="shared" si="1"/>
        <v>7</v>
      </c>
      <c r="I11" s="7"/>
      <c r="J11" s="6">
        <v>6</v>
      </c>
      <c r="K11" s="6">
        <v>6</v>
      </c>
      <c r="L11" s="6">
        <v>4</v>
      </c>
      <c r="M11" s="6">
        <v>3</v>
      </c>
      <c r="N11" s="6">
        <v>6</v>
      </c>
      <c r="O11" s="6">
        <v>3</v>
      </c>
      <c r="P11" s="6">
        <v>0</v>
      </c>
      <c r="Q11" s="6">
        <v>0</v>
      </c>
      <c r="R11" s="8">
        <f t="shared" si="2"/>
        <v>28</v>
      </c>
      <c r="S11" s="8" t="str">
        <f t="shared" si="3"/>
        <v>4</v>
      </c>
      <c r="T11" s="6">
        <v>5</v>
      </c>
      <c r="U11" s="6">
        <v>5</v>
      </c>
      <c r="V11" s="6">
        <v>4</v>
      </c>
      <c r="W11" s="6">
        <v>1</v>
      </c>
      <c r="X11" s="6">
        <v>1</v>
      </c>
      <c r="Y11" s="6">
        <v>6</v>
      </c>
      <c r="Z11" s="9">
        <f t="shared" si="4"/>
        <v>22</v>
      </c>
      <c r="AA11" s="9" t="str">
        <f t="shared" si="5"/>
        <v>6</v>
      </c>
      <c r="AB11" s="10">
        <f t="shared" si="6"/>
        <v>130</v>
      </c>
      <c r="AC11" s="10" t="str">
        <f t="shared" si="7"/>
        <v>6</v>
      </c>
      <c r="AD11" s="11"/>
      <c r="AE11">
        <f t="shared" si="8"/>
        <v>65</v>
      </c>
    </row>
    <row r="12" spans="1:31">
      <c r="A12" s="16" t="s">
        <v>43</v>
      </c>
      <c r="B12" s="16" t="s">
        <v>44</v>
      </c>
      <c r="C12" s="6">
        <v>13</v>
      </c>
      <c r="D12" s="6">
        <v>24</v>
      </c>
      <c r="E12" s="6">
        <v>21</v>
      </c>
      <c r="F12" s="6">
        <v>2</v>
      </c>
      <c r="G12" s="7">
        <f t="shared" si="0"/>
        <v>60</v>
      </c>
      <c r="H12" s="7" t="str">
        <f t="shared" si="1"/>
        <v>4</v>
      </c>
      <c r="I12" s="7"/>
      <c r="J12" s="6">
        <v>4</v>
      </c>
      <c r="K12" s="6">
        <v>5</v>
      </c>
      <c r="L12" s="6">
        <v>4</v>
      </c>
      <c r="M12" s="6">
        <v>0</v>
      </c>
      <c r="N12" s="6">
        <v>6</v>
      </c>
      <c r="O12" s="6">
        <v>1</v>
      </c>
      <c r="P12" s="6">
        <v>0</v>
      </c>
      <c r="Q12" s="6">
        <v>0</v>
      </c>
      <c r="R12" s="8">
        <f t="shared" si="2"/>
        <v>20</v>
      </c>
      <c r="S12" s="8" t="str">
        <f t="shared" si="3"/>
        <v>2</v>
      </c>
      <c r="T12" s="6">
        <v>1</v>
      </c>
      <c r="U12" s="6">
        <v>3</v>
      </c>
      <c r="V12" s="6">
        <v>1</v>
      </c>
      <c r="W12" s="6">
        <v>2</v>
      </c>
      <c r="X12" s="6">
        <v>1</v>
      </c>
      <c r="Y12" s="6">
        <v>2</v>
      </c>
      <c r="Z12" s="9">
        <f t="shared" si="4"/>
        <v>10</v>
      </c>
      <c r="AA12" s="9" t="str">
        <f t="shared" si="5"/>
        <v>1</v>
      </c>
      <c r="AB12" s="10">
        <f t="shared" si="6"/>
        <v>90</v>
      </c>
      <c r="AC12" s="10" t="str">
        <f t="shared" si="7"/>
        <v>3</v>
      </c>
      <c r="AD12" s="12"/>
      <c r="AE12">
        <f t="shared" si="8"/>
        <v>45</v>
      </c>
    </row>
    <row r="13" spans="1:31">
      <c r="A13" s="16" t="s">
        <v>45</v>
      </c>
      <c r="B13" s="16" t="s">
        <v>46</v>
      </c>
      <c r="C13" s="6">
        <v>14</v>
      </c>
      <c r="D13" s="6">
        <v>24</v>
      </c>
      <c r="E13" s="6">
        <v>21</v>
      </c>
      <c r="F13" s="6">
        <v>5</v>
      </c>
      <c r="G13" s="7">
        <f t="shared" si="0"/>
        <v>64</v>
      </c>
      <c r="H13" s="7" t="str">
        <f t="shared" si="1"/>
        <v>5</v>
      </c>
      <c r="I13" s="7"/>
      <c r="J13" s="6">
        <v>6</v>
      </c>
      <c r="K13" s="6">
        <v>5</v>
      </c>
      <c r="L13" s="6">
        <v>4</v>
      </c>
      <c r="M13" s="6">
        <v>0</v>
      </c>
      <c r="N13" s="6">
        <v>5</v>
      </c>
      <c r="O13" s="6">
        <v>5</v>
      </c>
      <c r="P13" s="6">
        <v>0</v>
      </c>
      <c r="Q13" s="6">
        <v>0</v>
      </c>
      <c r="R13" s="8">
        <f t="shared" si="2"/>
        <v>25</v>
      </c>
      <c r="S13" s="8" t="str">
        <f t="shared" si="3"/>
        <v>3</v>
      </c>
      <c r="T13" s="6">
        <v>0</v>
      </c>
      <c r="U13" s="6">
        <v>0</v>
      </c>
      <c r="V13" s="6">
        <v>1</v>
      </c>
      <c r="W13" s="6">
        <v>0</v>
      </c>
      <c r="X13" s="6">
        <v>0</v>
      </c>
      <c r="Y13" s="6">
        <v>0</v>
      </c>
      <c r="Z13" s="9">
        <f t="shared" si="4"/>
        <v>1</v>
      </c>
      <c r="AA13" s="9" t="str">
        <f t="shared" si="5"/>
        <v>U</v>
      </c>
      <c r="AB13" s="10">
        <f t="shared" si="6"/>
        <v>90</v>
      </c>
      <c r="AC13" s="10" t="str">
        <f t="shared" si="7"/>
        <v>3</v>
      </c>
      <c r="AD13" s="11"/>
      <c r="AE13">
        <f t="shared" si="8"/>
        <v>45</v>
      </c>
    </row>
    <row r="14" spans="1:31">
      <c r="A14" s="16" t="s">
        <v>47</v>
      </c>
      <c r="B14" s="16" t="s">
        <v>48</v>
      </c>
      <c r="C14" s="6">
        <v>11</v>
      </c>
      <c r="D14" s="6">
        <v>15</v>
      </c>
      <c r="E14" s="6">
        <v>14</v>
      </c>
      <c r="F14" s="6">
        <v>0</v>
      </c>
      <c r="G14" s="7">
        <f t="shared" si="0"/>
        <v>40</v>
      </c>
      <c r="H14" s="7" t="str">
        <f t="shared" si="1"/>
        <v>3</v>
      </c>
      <c r="I14" s="7"/>
      <c r="J14" s="6">
        <v>2</v>
      </c>
      <c r="K14" s="6">
        <v>9</v>
      </c>
      <c r="L14" s="6">
        <v>0</v>
      </c>
      <c r="M14" s="6">
        <v>0</v>
      </c>
      <c r="N14" s="6">
        <v>2</v>
      </c>
      <c r="O14" s="6">
        <v>0</v>
      </c>
      <c r="P14" s="6">
        <v>1</v>
      </c>
      <c r="Q14" s="6">
        <v>6</v>
      </c>
      <c r="R14" s="8">
        <f t="shared" si="2"/>
        <v>20</v>
      </c>
      <c r="S14" s="8" t="str">
        <f t="shared" si="3"/>
        <v>2</v>
      </c>
      <c r="T14" s="6">
        <v>1</v>
      </c>
      <c r="U14" s="6">
        <v>5</v>
      </c>
      <c r="V14" s="6">
        <v>3</v>
      </c>
      <c r="W14" s="6">
        <v>0</v>
      </c>
      <c r="X14" s="6">
        <v>3</v>
      </c>
      <c r="Y14" s="6">
        <v>1</v>
      </c>
      <c r="Z14" s="9">
        <f t="shared" si="4"/>
        <v>13</v>
      </c>
      <c r="AA14" s="9" t="str">
        <f t="shared" si="5"/>
        <v>2</v>
      </c>
      <c r="AB14" s="10">
        <f t="shared" si="6"/>
        <v>73</v>
      </c>
      <c r="AC14" s="10" t="str">
        <f t="shared" si="7"/>
        <v>2</v>
      </c>
      <c r="AD14" s="11"/>
      <c r="AE14">
        <f t="shared" si="8"/>
        <v>36.5</v>
      </c>
    </row>
    <row r="15" spans="1:31">
      <c r="A15" s="16" t="s">
        <v>49</v>
      </c>
      <c r="B15" s="16" t="s">
        <v>50</v>
      </c>
      <c r="C15" s="6">
        <v>8</v>
      </c>
      <c r="D15" s="6">
        <v>4</v>
      </c>
      <c r="E15" s="6">
        <v>14</v>
      </c>
      <c r="F15" s="6">
        <v>0</v>
      </c>
      <c r="G15" s="7">
        <f t="shared" si="0"/>
        <v>26</v>
      </c>
      <c r="H15" s="7" t="str">
        <f t="shared" si="1"/>
        <v>1</v>
      </c>
      <c r="I15" s="7"/>
      <c r="J15" s="6">
        <v>2</v>
      </c>
      <c r="K15" s="6">
        <v>6</v>
      </c>
      <c r="L15" s="6">
        <v>3</v>
      </c>
      <c r="M15" s="6">
        <v>1</v>
      </c>
      <c r="N15" s="6">
        <v>5</v>
      </c>
      <c r="O15" s="6">
        <v>0</v>
      </c>
      <c r="P15" s="6">
        <v>1</v>
      </c>
      <c r="Q15" s="6">
        <v>6</v>
      </c>
      <c r="R15" s="8">
        <f t="shared" si="2"/>
        <v>24</v>
      </c>
      <c r="S15" s="8" t="str">
        <f t="shared" si="3"/>
        <v>3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9">
        <f t="shared" si="4"/>
        <v>0</v>
      </c>
      <c r="AA15" s="9" t="str">
        <f t="shared" si="5"/>
        <v>U</v>
      </c>
      <c r="AB15" s="10">
        <f t="shared" si="6"/>
        <v>50</v>
      </c>
      <c r="AC15" s="10" t="str">
        <f t="shared" si="7"/>
        <v>1</v>
      </c>
      <c r="AD15" s="11"/>
      <c r="AE15">
        <f t="shared" si="8"/>
        <v>25</v>
      </c>
    </row>
    <row r="16" spans="1:31">
      <c r="A16" s="16" t="s">
        <v>51</v>
      </c>
      <c r="B16" s="16" t="s">
        <v>52</v>
      </c>
      <c r="C16" s="6">
        <v>19</v>
      </c>
      <c r="D16" s="6">
        <v>22</v>
      </c>
      <c r="E16" s="6">
        <v>23</v>
      </c>
      <c r="F16" s="6">
        <v>10</v>
      </c>
      <c r="G16" s="7">
        <f t="shared" si="0"/>
        <v>74</v>
      </c>
      <c r="H16" s="7" t="str">
        <f t="shared" si="1"/>
        <v>6</v>
      </c>
      <c r="I16" s="7"/>
      <c r="J16" s="6">
        <v>6</v>
      </c>
      <c r="K16" s="6">
        <v>5</v>
      </c>
      <c r="L16" s="6">
        <v>3</v>
      </c>
      <c r="M16" s="6">
        <v>0</v>
      </c>
      <c r="N16" s="6">
        <v>5</v>
      </c>
      <c r="O16" s="6">
        <v>0</v>
      </c>
      <c r="P16" s="6">
        <v>4</v>
      </c>
      <c r="Q16" s="6">
        <v>7</v>
      </c>
      <c r="R16" s="8">
        <f t="shared" si="2"/>
        <v>30</v>
      </c>
      <c r="S16" s="8" t="str">
        <f t="shared" si="3"/>
        <v>5</v>
      </c>
      <c r="T16" s="6">
        <v>3</v>
      </c>
      <c r="U16" s="6">
        <v>6</v>
      </c>
      <c r="V16" s="6">
        <v>2</v>
      </c>
      <c r="W16" s="6">
        <v>3</v>
      </c>
      <c r="X16" s="6">
        <v>3</v>
      </c>
      <c r="Y16" s="6">
        <v>7</v>
      </c>
      <c r="Z16" s="9">
        <f t="shared" si="4"/>
        <v>24</v>
      </c>
      <c r="AA16" s="9" t="str">
        <f t="shared" si="5"/>
        <v>7</v>
      </c>
      <c r="AB16" s="10">
        <f t="shared" si="6"/>
        <v>128</v>
      </c>
      <c r="AC16" s="10" t="str">
        <f t="shared" si="7"/>
        <v>6</v>
      </c>
      <c r="AD16" s="12"/>
      <c r="AE16">
        <f t="shared" si="8"/>
        <v>64</v>
      </c>
    </row>
    <row r="17" spans="1:31">
      <c r="A17" s="16" t="s">
        <v>53</v>
      </c>
      <c r="B17" s="16" t="s">
        <v>54</v>
      </c>
      <c r="C17" s="6">
        <v>18</v>
      </c>
      <c r="D17" s="6">
        <v>30</v>
      </c>
      <c r="E17" s="6">
        <v>27</v>
      </c>
      <c r="F17" s="6">
        <v>8</v>
      </c>
      <c r="G17" s="7">
        <f t="shared" si="0"/>
        <v>83</v>
      </c>
      <c r="H17" s="7" t="str">
        <f t="shared" si="1"/>
        <v>7</v>
      </c>
      <c r="I17" s="7"/>
      <c r="J17" s="6">
        <v>7</v>
      </c>
      <c r="K17" s="6">
        <v>7</v>
      </c>
      <c r="L17" s="6">
        <v>4</v>
      </c>
      <c r="M17" s="6">
        <v>0</v>
      </c>
      <c r="N17" s="6">
        <v>8</v>
      </c>
      <c r="O17" s="6">
        <v>0</v>
      </c>
      <c r="P17" s="6">
        <v>2</v>
      </c>
      <c r="Q17" s="6">
        <v>10</v>
      </c>
      <c r="R17" s="8">
        <f t="shared" si="2"/>
        <v>38</v>
      </c>
      <c r="S17" s="8" t="str">
        <f t="shared" si="3"/>
        <v>6</v>
      </c>
      <c r="T17" s="6">
        <v>3</v>
      </c>
      <c r="U17" s="6">
        <v>5</v>
      </c>
      <c r="V17" s="6">
        <v>4</v>
      </c>
      <c r="W17" s="6">
        <v>1</v>
      </c>
      <c r="X17" s="6">
        <v>2</v>
      </c>
      <c r="Y17" s="6">
        <v>7</v>
      </c>
      <c r="Z17" s="9">
        <f t="shared" si="4"/>
        <v>22</v>
      </c>
      <c r="AA17" s="9" t="str">
        <f t="shared" si="5"/>
        <v>6</v>
      </c>
      <c r="AB17" s="10">
        <f t="shared" si="6"/>
        <v>143</v>
      </c>
      <c r="AC17" s="10" t="str">
        <f t="shared" si="7"/>
        <v>6</v>
      </c>
      <c r="AD17" s="11"/>
      <c r="AE17">
        <f t="shared" si="8"/>
        <v>71.5</v>
      </c>
    </row>
    <row r="18" spans="1:31">
      <c r="A18" s="16" t="s">
        <v>55</v>
      </c>
      <c r="B18" s="16" t="s">
        <v>56</v>
      </c>
      <c r="C18" s="6">
        <v>15</v>
      </c>
      <c r="D18" s="6">
        <v>24</v>
      </c>
      <c r="E18" s="6">
        <v>15</v>
      </c>
      <c r="F18" s="6">
        <v>7</v>
      </c>
      <c r="G18" s="7">
        <f t="shared" si="0"/>
        <v>61</v>
      </c>
      <c r="H18" s="7" t="str">
        <f t="shared" si="1"/>
        <v>4</v>
      </c>
      <c r="I18" s="7"/>
      <c r="J18" s="6">
        <v>6</v>
      </c>
      <c r="K18" s="6">
        <v>6</v>
      </c>
      <c r="L18" s="6">
        <v>1</v>
      </c>
      <c r="M18" s="6">
        <v>0</v>
      </c>
      <c r="N18" s="6">
        <v>7</v>
      </c>
      <c r="O18" s="6">
        <v>1</v>
      </c>
      <c r="P18" s="6">
        <v>4</v>
      </c>
      <c r="Q18" s="6">
        <v>11</v>
      </c>
      <c r="R18" s="8">
        <f t="shared" si="2"/>
        <v>36</v>
      </c>
      <c r="S18" s="8" t="str">
        <f t="shared" si="3"/>
        <v>6</v>
      </c>
      <c r="T18" s="6">
        <v>4</v>
      </c>
      <c r="U18" s="6">
        <v>0</v>
      </c>
      <c r="V18" s="6">
        <v>3</v>
      </c>
      <c r="W18" s="6">
        <v>3</v>
      </c>
      <c r="X18" s="6">
        <v>0</v>
      </c>
      <c r="Y18" s="6">
        <v>5</v>
      </c>
      <c r="Z18" s="9">
        <f t="shared" si="4"/>
        <v>15</v>
      </c>
      <c r="AA18" s="9" t="str">
        <f t="shared" si="5"/>
        <v>3</v>
      </c>
      <c r="AB18" s="10">
        <f t="shared" si="6"/>
        <v>112</v>
      </c>
      <c r="AC18" s="10" t="str">
        <f t="shared" si="7"/>
        <v>5</v>
      </c>
      <c r="AD18" s="12"/>
      <c r="AE18">
        <f t="shared" si="8"/>
        <v>56</v>
      </c>
    </row>
    <row r="19" spans="1:31">
      <c r="A19" s="16" t="s">
        <v>57</v>
      </c>
      <c r="B19" s="16" t="s">
        <v>58</v>
      </c>
      <c r="C19" s="6">
        <v>8</v>
      </c>
      <c r="D19" s="6">
        <v>10</v>
      </c>
      <c r="E19" s="6">
        <v>15</v>
      </c>
      <c r="F19" s="6">
        <v>0</v>
      </c>
      <c r="G19" s="7">
        <f t="shared" si="0"/>
        <v>33</v>
      </c>
      <c r="H19" s="7" t="str">
        <f t="shared" si="1"/>
        <v>2</v>
      </c>
      <c r="I19" s="7"/>
      <c r="J19" s="6">
        <v>4</v>
      </c>
      <c r="K19" s="6">
        <v>7</v>
      </c>
      <c r="L19" s="6">
        <v>4</v>
      </c>
      <c r="M19" s="6">
        <v>0</v>
      </c>
      <c r="N19" s="6">
        <v>6</v>
      </c>
      <c r="O19" s="6">
        <v>3</v>
      </c>
      <c r="P19" s="6">
        <v>3</v>
      </c>
      <c r="Q19" s="6">
        <v>4</v>
      </c>
      <c r="R19" s="8">
        <f t="shared" si="2"/>
        <v>31</v>
      </c>
      <c r="S19" s="8" t="str">
        <f t="shared" si="3"/>
        <v>5</v>
      </c>
      <c r="T19" s="6">
        <v>3</v>
      </c>
      <c r="U19" s="6">
        <v>1</v>
      </c>
      <c r="V19" s="6">
        <v>3</v>
      </c>
      <c r="W19" s="6">
        <v>2</v>
      </c>
      <c r="X19" s="6">
        <v>3</v>
      </c>
      <c r="Y19" s="6">
        <v>5</v>
      </c>
      <c r="Z19" s="9">
        <f t="shared" si="4"/>
        <v>17</v>
      </c>
      <c r="AA19" s="9" t="str">
        <f t="shared" si="5"/>
        <v>4</v>
      </c>
      <c r="AB19" s="10">
        <f t="shared" si="6"/>
        <v>81</v>
      </c>
      <c r="AC19" s="10" t="str">
        <f t="shared" si="7"/>
        <v>3</v>
      </c>
      <c r="AD19" s="12"/>
      <c r="AE19">
        <f t="shared" si="8"/>
        <v>40.5</v>
      </c>
    </row>
    <row r="20" spans="1:31">
      <c r="A20" s="16" t="s">
        <v>59</v>
      </c>
      <c r="B20" s="16" t="s">
        <v>60</v>
      </c>
      <c r="C20" s="6">
        <v>15</v>
      </c>
      <c r="D20" s="6">
        <v>30</v>
      </c>
      <c r="E20" s="6">
        <v>31</v>
      </c>
      <c r="F20" s="6">
        <v>10</v>
      </c>
      <c r="G20" s="7">
        <f t="shared" si="0"/>
        <v>86</v>
      </c>
      <c r="H20" s="7" t="str">
        <f t="shared" si="1"/>
        <v>8</v>
      </c>
      <c r="I20" s="7"/>
      <c r="J20" s="6">
        <v>6</v>
      </c>
      <c r="K20" s="6">
        <v>8</v>
      </c>
      <c r="L20" s="6">
        <v>4</v>
      </c>
      <c r="M20" s="6">
        <v>2</v>
      </c>
      <c r="N20" s="6">
        <v>4</v>
      </c>
      <c r="O20" s="6">
        <v>3</v>
      </c>
      <c r="P20" s="6">
        <v>4</v>
      </c>
      <c r="Q20" s="6">
        <v>11</v>
      </c>
      <c r="R20" s="8">
        <f t="shared" si="2"/>
        <v>42</v>
      </c>
      <c r="S20" s="8" t="str">
        <f t="shared" si="3"/>
        <v>7</v>
      </c>
      <c r="T20" s="6">
        <v>1</v>
      </c>
      <c r="U20" s="6">
        <v>3</v>
      </c>
      <c r="V20" s="6">
        <v>3</v>
      </c>
      <c r="W20" s="6">
        <v>2</v>
      </c>
      <c r="X20" s="6">
        <v>2</v>
      </c>
      <c r="Y20" s="6">
        <v>7</v>
      </c>
      <c r="Z20" s="9">
        <f t="shared" si="4"/>
        <v>18</v>
      </c>
      <c r="AA20" s="9" t="str">
        <f t="shared" si="5"/>
        <v>4</v>
      </c>
      <c r="AB20" s="10">
        <f t="shared" si="6"/>
        <v>146</v>
      </c>
      <c r="AC20" s="10" t="str">
        <f t="shared" si="7"/>
        <v>7</v>
      </c>
      <c r="AD20" s="12"/>
      <c r="AE20">
        <f t="shared" si="8"/>
        <v>73</v>
      </c>
    </row>
    <row r="21" spans="1:31">
      <c r="A21" s="16" t="s">
        <v>61</v>
      </c>
      <c r="B21" s="16" t="s">
        <v>62</v>
      </c>
      <c r="C21" s="6">
        <v>10</v>
      </c>
      <c r="D21" s="6">
        <v>6</v>
      </c>
      <c r="E21" s="6">
        <v>10</v>
      </c>
      <c r="F21" s="6">
        <v>3</v>
      </c>
      <c r="G21" s="7">
        <f t="shared" si="0"/>
        <v>29</v>
      </c>
      <c r="H21" s="7" t="str">
        <f t="shared" si="1"/>
        <v>2</v>
      </c>
      <c r="I21" s="7"/>
      <c r="J21" s="6">
        <v>3</v>
      </c>
      <c r="K21" s="6">
        <v>1</v>
      </c>
      <c r="L21" s="6">
        <v>0</v>
      </c>
      <c r="M21" s="6">
        <v>0</v>
      </c>
      <c r="N21" s="6">
        <v>0</v>
      </c>
      <c r="O21" s="6">
        <v>1</v>
      </c>
      <c r="P21" s="6">
        <v>0</v>
      </c>
      <c r="Q21" s="6">
        <v>0</v>
      </c>
      <c r="R21" s="8">
        <f t="shared" si="2"/>
        <v>5</v>
      </c>
      <c r="S21" s="8" t="str">
        <f t="shared" si="3"/>
        <v>U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9">
        <f t="shared" si="4"/>
        <v>0</v>
      </c>
      <c r="AA21" s="9" t="str">
        <f t="shared" si="5"/>
        <v>U</v>
      </c>
      <c r="AB21" s="10">
        <f t="shared" si="6"/>
        <v>34</v>
      </c>
      <c r="AC21" s="10" t="str">
        <f t="shared" si="7"/>
        <v>1</v>
      </c>
      <c r="AD21" s="12"/>
      <c r="AE21">
        <f t="shared" si="8"/>
        <v>17</v>
      </c>
    </row>
    <row r="22" spans="1:31">
      <c r="A22" s="16" t="s">
        <v>63</v>
      </c>
      <c r="B22" s="16" t="s">
        <v>64</v>
      </c>
      <c r="C22" s="6">
        <v>7</v>
      </c>
      <c r="D22" s="6">
        <v>7</v>
      </c>
      <c r="E22" s="6">
        <v>8</v>
      </c>
      <c r="F22" s="6">
        <v>0</v>
      </c>
      <c r="G22" s="7">
        <f t="shared" si="0"/>
        <v>22</v>
      </c>
      <c r="H22" s="7" t="str">
        <f t="shared" si="1"/>
        <v>1</v>
      </c>
      <c r="I22" s="7"/>
      <c r="J22" s="6">
        <v>2</v>
      </c>
      <c r="K22" s="6">
        <v>1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8">
        <f t="shared" si="2"/>
        <v>4</v>
      </c>
      <c r="S22" s="8" t="str">
        <f t="shared" si="3"/>
        <v>U</v>
      </c>
      <c r="T22" s="6">
        <v>3</v>
      </c>
      <c r="U22" s="6">
        <v>0</v>
      </c>
      <c r="V22" s="6">
        <v>1</v>
      </c>
      <c r="W22" s="6">
        <v>1</v>
      </c>
      <c r="X22" s="6">
        <v>2</v>
      </c>
      <c r="Y22" s="6">
        <v>1</v>
      </c>
      <c r="Z22" s="9">
        <f t="shared" si="4"/>
        <v>8</v>
      </c>
      <c r="AA22" s="9" t="str">
        <f t="shared" si="5"/>
        <v>U</v>
      </c>
      <c r="AB22" s="10">
        <f t="shared" si="6"/>
        <v>34</v>
      </c>
      <c r="AC22" s="10" t="str">
        <f t="shared" si="7"/>
        <v>1</v>
      </c>
      <c r="AD22" s="12"/>
      <c r="AE22">
        <f t="shared" si="8"/>
        <v>17</v>
      </c>
    </row>
    <row r="23" spans="1:31">
      <c r="A23" s="16" t="s">
        <v>65</v>
      </c>
      <c r="B23" s="16" t="s">
        <v>66</v>
      </c>
      <c r="C23" s="6">
        <v>8</v>
      </c>
      <c r="D23" s="6">
        <v>11</v>
      </c>
      <c r="E23" s="6">
        <v>10</v>
      </c>
      <c r="F23" s="6">
        <v>2</v>
      </c>
      <c r="G23" s="7">
        <f t="shared" si="0"/>
        <v>31</v>
      </c>
      <c r="H23" s="7" t="str">
        <f t="shared" si="1"/>
        <v>2</v>
      </c>
      <c r="I23" s="7"/>
      <c r="J23" s="6">
        <v>4</v>
      </c>
      <c r="K23" s="6">
        <v>1</v>
      </c>
      <c r="L23" s="6">
        <v>2</v>
      </c>
      <c r="M23" s="6">
        <v>0</v>
      </c>
      <c r="N23" s="6">
        <v>3</v>
      </c>
      <c r="O23" s="6">
        <v>0</v>
      </c>
      <c r="P23" s="6">
        <v>2</v>
      </c>
      <c r="Q23" s="6">
        <v>0</v>
      </c>
      <c r="R23" s="8">
        <f t="shared" si="2"/>
        <v>12</v>
      </c>
      <c r="S23" s="8" t="str">
        <f t="shared" si="3"/>
        <v>1</v>
      </c>
      <c r="T23" s="6">
        <v>1</v>
      </c>
      <c r="U23" s="6">
        <v>1</v>
      </c>
      <c r="V23" s="6">
        <v>3</v>
      </c>
      <c r="W23" s="6">
        <v>2</v>
      </c>
      <c r="X23" s="6">
        <v>2</v>
      </c>
      <c r="Y23" s="6">
        <v>3</v>
      </c>
      <c r="Z23" s="9">
        <f t="shared" si="4"/>
        <v>12</v>
      </c>
      <c r="AA23" s="9" t="str">
        <f t="shared" si="5"/>
        <v>2</v>
      </c>
      <c r="AB23" s="10">
        <f t="shared" si="6"/>
        <v>55</v>
      </c>
      <c r="AC23" s="10" t="str">
        <f t="shared" si="7"/>
        <v>2</v>
      </c>
      <c r="AD23" s="12"/>
      <c r="AE23">
        <f t="shared" si="8"/>
        <v>27.5</v>
      </c>
    </row>
    <row r="24" spans="1:31">
      <c r="A24" s="16" t="s">
        <v>67</v>
      </c>
      <c r="B24" s="16" t="s">
        <v>68</v>
      </c>
      <c r="C24" s="6">
        <v>14</v>
      </c>
      <c r="D24" s="6">
        <v>23</v>
      </c>
      <c r="E24" s="6">
        <v>23</v>
      </c>
      <c r="F24" s="6">
        <v>3</v>
      </c>
      <c r="G24" s="7">
        <f t="shared" si="0"/>
        <v>63</v>
      </c>
      <c r="H24" s="7" t="str">
        <f t="shared" si="1"/>
        <v>5</v>
      </c>
      <c r="I24" s="7"/>
      <c r="J24" s="6">
        <v>5</v>
      </c>
      <c r="K24" s="6">
        <v>3</v>
      </c>
      <c r="L24" s="6">
        <v>4</v>
      </c>
      <c r="M24" s="6">
        <v>0</v>
      </c>
      <c r="N24" s="6">
        <v>3</v>
      </c>
      <c r="O24" s="6">
        <v>3</v>
      </c>
      <c r="P24" s="6">
        <v>3</v>
      </c>
      <c r="Q24" s="6">
        <v>6</v>
      </c>
      <c r="R24" s="8">
        <f t="shared" si="2"/>
        <v>27</v>
      </c>
      <c r="S24" s="8" t="str">
        <f t="shared" si="3"/>
        <v>4</v>
      </c>
      <c r="T24" s="6">
        <v>0</v>
      </c>
      <c r="U24" s="6">
        <v>4</v>
      </c>
      <c r="V24" s="6">
        <v>2</v>
      </c>
      <c r="W24" s="6">
        <v>2</v>
      </c>
      <c r="X24" s="6">
        <v>2</v>
      </c>
      <c r="Y24" s="6">
        <v>1</v>
      </c>
      <c r="Z24" s="9">
        <f t="shared" si="4"/>
        <v>11</v>
      </c>
      <c r="AA24" s="9" t="str">
        <f t="shared" si="5"/>
        <v>1</v>
      </c>
      <c r="AB24" s="10">
        <f t="shared" si="6"/>
        <v>101</v>
      </c>
      <c r="AC24" s="10" t="str">
        <f t="shared" si="7"/>
        <v>4</v>
      </c>
      <c r="AD24" s="12"/>
      <c r="AE24">
        <f t="shared" si="8"/>
        <v>50.5</v>
      </c>
    </row>
    <row r="25" spans="1:31">
      <c r="A25" s="16" t="s">
        <v>69</v>
      </c>
      <c r="B25" s="16" t="s">
        <v>70</v>
      </c>
      <c r="C25" s="6">
        <v>6</v>
      </c>
      <c r="D25" s="6">
        <v>2</v>
      </c>
      <c r="E25" s="6">
        <v>6</v>
      </c>
      <c r="F25" s="6">
        <v>1</v>
      </c>
      <c r="G25" s="7">
        <f t="shared" si="0"/>
        <v>15</v>
      </c>
      <c r="H25" s="7" t="str">
        <f t="shared" si="1"/>
        <v>1</v>
      </c>
      <c r="I25" s="7"/>
      <c r="J25" s="6">
        <v>2</v>
      </c>
      <c r="K25" s="6">
        <v>0</v>
      </c>
      <c r="L25" s="6">
        <v>0</v>
      </c>
      <c r="M25" s="6">
        <v>0</v>
      </c>
      <c r="N25" s="6">
        <v>1</v>
      </c>
      <c r="O25" s="6">
        <v>3</v>
      </c>
      <c r="P25" s="6">
        <v>0</v>
      </c>
      <c r="Q25" s="6">
        <v>3</v>
      </c>
      <c r="R25" s="8">
        <f t="shared" si="2"/>
        <v>9</v>
      </c>
      <c r="S25" s="8" t="str">
        <f t="shared" si="3"/>
        <v>1</v>
      </c>
      <c r="T25" s="6">
        <v>1</v>
      </c>
      <c r="U25" s="6">
        <v>0</v>
      </c>
      <c r="V25" s="6">
        <v>0</v>
      </c>
      <c r="W25" s="6">
        <v>0</v>
      </c>
      <c r="X25" s="6">
        <v>1</v>
      </c>
      <c r="Y25" s="6">
        <v>0</v>
      </c>
      <c r="Z25" s="9">
        <f t="shared" si="4"/>
        <v>2</v>
      </c>
      <c r="AA25" s="9" t="str">
        <f t="shared" si="5"/>
        <v>U</v>
      </c>
      <c r="AB25" s="10">
        <f t="shared" si="6"/>
        <v>26</v>
      </c>
      <c r="AC25" s="10" t="str">
        <f t="shared" si="7"/>
        <v>U</v>
      </c>
      <c r="AD25" s="11"/>
      <c r="AE25">
        <f t="shared" si="8"/>
        <v>13</v>
      </c>
    </row>
    <row r="26" spans="1:31" ht="15" customHeight="1">
      <c r="A26" s="16" t="s">
        <v>71</v>
      </c>
      <c r="B26" s="16" t="s">
        <v>72</v>
      </c>
      <c r="C26">
        <v>17</v>
      </c>
      <c r="D26">
        <v>29</v>
      </c>
      <c r="E26">
        <v>22</v>
      </c>
      <c r="F26">
        <v>8</v>
      </c>
      <c r="G26" s="7">
        <f t="shared" ref="G26:G32" si="9">SUM(C26:F26)</f>
        <v>76</v>
      </c>
      <c r="H26" s="7" t="str">
        <f t="shared" ref="H26:H32" si="10">IF(G26&gt;=91, "9", IF(G26&gt;=85, "8", IF(G26&gt;=79, "7", IF(G26&gt;=70, "6", IF(G26&gt;=62, "5", IF(G26&gt;=52, "4", IF(G26&gt;=39, "3", IF(G26&gt;=27, "2", IF(G26&gt;=15, "1", "U")))))))))</f>
        <v>6</v>
      </c>
      <c r="I26" s="18"/>
      <c r="J26">
        <v>4</v>
      </c>
      <c r="K26">
        <v>4</v>
      </c>
      <c r="L26">
        <v>3</v>
      </c>
      <c r="M26">
        <v>3</v>
      </c>
      <c r="N26">
        <v>8</v>
      </c>
      <c r="O26">
        <v>2</v>
      </c>
      <c r="P26">
        <v>2</v>
      </c>
      <c r="Q26">
        <v>3</v>
      </c>
      <c r="R26" s="8">
        <f t="shared" ref="R26:R32" si="11">SUM(J26:Q26)</f>
        <v>29</v>
      </c>
      <c r="S26" s="8" t="str">
        <f t="shared" ref="S26:S32" si="12">IF(R26&gt;=47, "9", IF(R26&gt;=43, "8", IF(R26&gt;=40, "7", IF(R26&gt;=35, "6", IF(R26&gt;=30, "5", IF(R26&gt;=26, "4", IF(R26&gt;=21, "3", IF(R26&gt;=15, "2", IF(R26&gt;=9, "1", "U")))))))))</f>
        <v>4</v>
      </c>
      <c r="T26">
        <v>3</v>
      </c>
      <c r="U26">
        <v>5</v>
      </c>
      <c r="V26">
        <v>4</v>
      </c>
      <c r="W26">
        <v>3</v>
      </c>
      <c r="X26">
        <v>2</v>
      </c>
      <c r="Y26">
        <v>5</v>
      </c>
      <c r="Z26" s="9">
        <f t="shared" ref="Z26" si="13">SUM(T26:Y26)</f>
        <v>22</v>
      </c>
      <c r="AA26" s="9" t="str">
        <f t="shared" ref="AA26" si="14">IF(Z26&gt;=34, "9", IF(Z26&gt;=29, "8", IF(Z26&gt;=24, "7", IF(Z26&gt;=22, "6", IF(Z26&gt;=19, "5", IF(Z26&gt;=17, "4", IF(Z26&gt;=14, "3", IF(Z26&gt;=12, "2", IF(Z26&gt;=10, "1", "U")))))))))</f>
        <v>6</v>
      </c>
      <c r="AB26" s="10">
        <f t="shared" ref="AB26" si="15">SUM(G26+R26+Z26)</f>
        <v>127</v>
      </c>
      <c r="AC26" s="10" t="str">
        <f t="shared" ref="AC26" si="16">IF(AB26&gt;=172, "9", IF(AB26&gt;=158, "8", IF(AB26&gt;=144, "7", IF(AB26&gt;=127, "6", IF(AB26&gt;=111, "5", IF(AB26&gt;=95, "4", IF(AB26&gt;=74, "3", IF(AB26&gt;=54, "2", IF(AB26&gt;=34, "1", "U")))))))))</f>
        <v>6</v>
      </c>
      <c r="AD26" s="11"/>
      <c r="AE26">
        <f t="shared" si="8"/>
        <v>63.5</v>
      </c>
    </row>
    <row r="27" spans="1:31" ht="15" customHeight="1">
      <c r="A27" s="16" t="s">
        <v>71</v>
      </c>
      <c r="B27" s="16" t="s">
        <v>73</v>
      </c>
      <c r="C27">
        <v>13</v>
      </c>
      <c r="D27">
        <v>16</v>
      </c>
      <c r="E27">
        <v>14</v>
      </c>
      <c r="F27">
        <v>3</v>
      </c>
      <c r="G27" s="7">
        <f t="shared" si="9"/>
        <v>46</v>
      </c>
      <c r="H27" s="7" t="str">
        <f t="shared" si="10"/>
        <v>3</v>
      </c>
      <c r="I27" s="18"/>
      <c r="J27">
        <v>6</v>
      </c>
      <c r="K27">
        <v>5</v>
      </c>
      <c r="L27">
        <v>3</v>
      </c>
      <c r="M27">
        <v>0</v>
      </c>
      <c r="N27">
        <v>0</v>
      </c>
      <c r="O27">
        <v>1</v>
      </c>
      <c r="P27">
        <v>2</v>
      </c>
      <c r="Q27">
        <v>11</v>
      </c>
      <c r="R27" s="8">
        <f t="shared" si="11"/>
        <v>28</v>
      </c>
      <c r="S27" s="8" t="str">
        <f t="shared" si="12"/>
        <v>4</v>
      </c>
      <c r="T27">
        <v>4</v>
      </c>
      <c r="U27">
        <v>4</v>
      </c>
      <c r="V27">
        <v>3</v>
      </c>
      <c r="W27">
        <v>1</v>
      </c>
      <c r="X27">
        <v>1</v>
      </c>
      <c r="Y27">
        <v>8</v>
      </c>
      <c r="Z27" s="9">
        <f t="shared" ref="Z27:Z32" si="17">SUM(T27:Y27)</f>
        <v>21</v>
      </c>
      <c r="AA27" s="9" t="str">
        <f t="shared" ref="AA27:AA32" si="18">IF(Z27&gt;=34, "9", IF(Z27&gt;=29, "8", IF(Z27&gt;=24, "7", IF(Z27&gt;=22, "6", IF(Z27&gt;=19, "5", IF(Z27&gt;=17, "4", IF(Z27&gt;=14, "3", IF(Z27&gt;=12, "2", IF(Z27&gt;=10, "1", "U")))))))))</f>
        <v>5</v>
      </c>
      <c r="AB27" s="10">
        <f t="shared" ref="AB27:AB32" si="19">SUM(G27+R27+Z27)</f>
        <v>95</v>
      </c>
      <c r="AC27" s="10" t="str">
        <f t="shared" ref="AC27:AC32" si="20">IF(AB27&gt;=172, "9", IF(AB27&gt;=158, "8", IF(AB27&gt;=144, "7", IF(AB27&gt;=127, "6", IF(AB27&gt;=111, "5", IF(AB27&gt;=95, "4", IF(AB27&gt;=74, "3", IF(AB27&gt;=54, "2", IF(AB27&gt;=34, "1", "U")))))))))</f>
        <v>4</v>
      </c>
      <c r="AD27" s="12"/>
      <c r="AE27">
        <f t="shared" si="8"/>
        <v>47.5</v>
      </c>
    </row>
    <row r="28" spans="1:31" ht="15" customHeight="1">
      <c r="A28" s="16" t="s">
        <v>74</v>
      </c>
      <c r="B28" s="16" t="s">
        <v>75</v>
      </c>
      <c r="C28">
        <v>14</v>
      </c>
      <c r="D28">
        <v>14</v>
      </c>
      <c r="E28">
        <v>20</v>
      </c>
      <c r="F28">
        <v>2</v>
      </c>
      <c r="G28" s="7">
        <f t="shared" si="9"/>
        <v>50</v>
      </c>
      <c r="H28" s="7" t="str">
        <f t="shared" si="10"/>
        <v>3</v>
      </c>
      <c r="I28" s="18"/>
      <c r="J28">
        <v>3</v>
      </c>
      <c r="K28">
        <v>4</v>
      </c>
      <c r="L28">
        <v>3</v>
      </c>
      <c r="M28">
        <v>0</v>
      </c>
      <c r="N28">
        <v>3</v>
      </c>
      <c r="O28">
        <v>1</v>
      </c>
      <c r="P28">
        <v>3</v>
      </c>
      <c r="Q28">
        <v>2</v>
      </c>
      <c r="R28" s="8">
        <f t="shared" si="11"/>
        <v>19</v>
      </c>
      <c r="S28" s="8" t="str">
        <f t="shared" si="12"/>
        <v>2</v>
      </c>
      <c r="T28">
        <v>2</v>
      </c>
      <c r="U28">
        <v>2</v>
      </c>
      <c r="V28">
        <v>3</v>
      </c>
      <c r="W28">
        <v>1</v>
      </c>
      <c r="X28">
        <v>1</v>
      </c>
      <c r="Y28">
        <v>3</v>
      </c>
      <c r="Z28" s="9">
        <f t="shared" si="17"/>
        <v>12</v>
      </c>
      <c r="AA28" s="9" t="str">
        <f t="shared" si="18"/>
        <v>2</v>
      </c>
      <c r="AB28" s="10">
        <f t="shared" si="19"/>
        <v>81</v>
      </c>
      <c r="AC28" s="10" t="str">
        <f t="shared" si="20"/>
        <v>3</v>
      </c>
      <c r="AD28" s="11"/>
      <c r="AE28">
        <f t="shared" si="8"/>
        <v>40.5</v>
      </c>
    </row>
    <row r="29" spans="1:31" ht="15" customHeight="1">
      <c r="A29" s="16" t="s">
        <v>76</v>
      </c>
      <c r="B29" s="16" t="s">
        <v>77</v>
      </c>
      <c r="C29">
        <v>11</v>
      </c>
      <c r="D29">
        <v>12</v>
      </c>
      <c r="E29">
        <v>13</v>
      </c>
      <c r="F29">
        <v>6</v>
      </c>
      <c r="G29" s="7">
        <f t="shared" si="9"/>
        <v>42</v>
      </c>
      <c r="H29" s="7" t="str">
        <f t="shared" si="10"/>
        <v>3</v>
      </c>
      <c r="I29" s="18"/>
      <c r="J29">
        <v>6</v>
      </c>
      <c r="K29">
        <v>6</v>
      </c>
      <c r="L29">
        <v>2</v>
      </c>
      <c r="M29">
        <v>0</v>
      </c>
      <c r="N29">
        <v>7</v>
      </c>
      <c r="O29">
        <v>2</v>
      </c>
      <c r="P29">
        <v>2</v>
      </c>
      <c r="Q29">
        <v>7</v>
      </c>
      <c r="R29" s="8">
        <f t="shared" si="11"/>
        <v>32</v>
      </c>
      <c r="S29" s="8" t="str">
        <f t="shared" si="12"/>
        <v>5</v>
      </c>
      <c r="T29">
        <v>4</v>
      </c>
      <c r="U29">
        <v>2</v>
      </c>
      <c r="V29">
        <v>3</v>
      </c>
      <c r="W29">
        <v>3</v>
      </c>
      <c r="X29">
        <v>1</v>
      </c>
      <c r="Y29">
        <v>2</v>
      </c>
      <c r="Z29" s="9">
        <f t="shared" ref="Z29" si="21">SUM(T29:Y29)</f>
        <v>15</v>
      </c>
      <c r="AA29" s="9" t="str">
        <f t="shared" ref="AA29" si="22">IF(Z29&gt;=34, "9", IF(Z29&gt;=29, "8", IF(Z29&gt;=24, "7", IF(Z29&gt;=22, "6", IF(Z29&gt;=19, "5", IF(Z29&gt;=17, "4", IF(Z29&gt;=14, "3", IF(Z29&gt;=12, "2", IF(Z29&gt;=10, "1", "U")))))))))</f>
        <v>3</v>
      </c>
      <c r="AB29" s="10">
        <f t="shared" ref="AB29" si="23">SUM(G29+R29+Z29)</f>
        <v>89</v>
      </c>
      <c r="AC29" s="10" t="str">
        <f t="shared" ref="AC29" si="24">IF(AB29&gt;=172, "9", IF(AB29&gt;=158, "8", IF(AB29&gt;=144, "7", IF(AB29&gt;=127, "6", IF(AB29&gt;=111, "5", IF(AB29&gt;=95, "4", IF(AB29&gt;=74, "3", IF(AB29&gt;=54, "2", IF(AB29&gt;=34, "1", "U")))))))))</f>
        <v>3</v>
      </c>
      <c r="AD29" s="11"/>
      <c r="AE29">
        <f t="shared" si="8"/>
        <v>44.5</v>
      </c>
    </row>
    <row r="30" spans="1:31" ht="15" customHeight="1">
      <c r="A30" s="16" t="s">
        <v>78</v>
      </c>
      <c r="B30" s="16" t="s">
        <v>79</v>
      </c>
      <c r="C30">
        <v>16</v>
      </c>
      <c r="D30">
        <v>11</v>
      </c>
      <c r="E30">
        <v>17</v>
      </c>
      <c r="F30">
        <v>5</v>
      </c>
      <c r="G30" s="7">
        <f t="shared" si="9"/>
        <v>49</v>
      </c>
      <c r="H30" s="7" t="str">
        <f t="shared" si="10"/>
        <v>3</v>
      </c>
      <c r="I30" s="18"/>
      <c r="J30">
        <v>5</v>
      </c>
      <c r="K30">
        <v>7</v>
      </c>
      <c r="L30">
        <v>4</v>
      </c>
      <c r="M30">
        <v>2</v>
      </c>
      <c r="N30">
        <v>4</v>
      </c>
      <c r="O30">
        <v>2</v>
      </c>
      <c r="P30">
        <v>0</v>
      </c>
      <c r="Q30">
        <v>7</v>
      </c>
      <c r="R30" s="8">
        <f t="shared" si="11"/>
        <v>31</v>
      </c>
      <c r="S30" s="8" t="str">
        <f t="shared" si="12"/>
        <v>5</v>
      </c>
      <c r="T30">
        <v>6</v>
      </c>
      <c r="U30">
        <v>3</v>
      </c>
      <c r="V30">
        <v>4</v>
      </c>
      <c r="W30">
        <v>0</v>
      </c>
      <c r="X30">
        <v>1</v>
      </c>
      <c r="Y30">
        <v>0</v>
      </c>
      <c r="Z30" s="9">
        <f t="shared" ref="Z30:Z32" si="25">SUM(T30:Y30)</f>
        <v>14</v>
      </c>
      <c r="AA30" s="9" t="str">
        <f t="shared" ref="AA30:AA32" si="26">IF(Z30&gt;=34, "9", IF(Z30&gt;=29, "8", IF(Z30&gt;=24, "7", IF(Z30&gt;=22, "6", IF(Z30&gt;=19, "5", IF(Z30&gt;=17, "4", IF(Z30&gt;=14, "3", IF(Z30&gt;=12, "2", IF(Z30&gt;=10, "1", "U")))))))))</f>
        <v>3</v>
      </c>
      <c r="AB30" s="10">
        <f t="shared" ref="AB30:AB32" si="27">SUM(G30+R30+Z30)</f>
        <v>94</v>
      </c>
      <c r="AC30" s="10" t="str">
        <f t="shared" ref="AC30:AC32" si="28">IF(AB30&gt;=172, "9", IF(AB30&gt;=158, "8", IF(AB30&gt;=144, "7", IF(AB30&gt;=127, "6", IF(AB30&gt;=111, "5", IF(AB30&gt;=95, "4", IF(AB30&gt;=74, "3", IF(AB30&gt;=54, "2", IF(AB30&gt;=34, "1", "U")))))))))</f>
        <v>3</v>
      </c>
      <c r="AD30" s="12"/>
      <c r="AE30">
        <f t="shared" si="8"/>
        <v>47</v>
      </c>
    </row>
    <row r="31" spans="1:31" ht="15" customHeight="1">
      <c r="A31" s="16" t="s">
        <v>80</v>
      </c>
      <c r="B31" s="16" t="s">
        <v>81</v>
      </c>
      <c r="C31">
        <v>19</v>
      </c>
      <c r="D31">
        <v>30</v>
      </c>
      <c r="E31">
        <v>30</v>
      </c>
      <c r="F31">
        <v>9</v>
      </c>
      <c r="G31" s="7">
        <f t="shared" si="9"/>
        <v>88</v>
      </c>
      <c r="H31" s="7" t="str">
        <f t="shared" si="10"/>
        <v>8</v>
      </c>
      <c r="I31" s="18"/>
      <c r="J31">
        <v>7</v>
      </c>
      <c r="K31">
        <v>5</v>
      </c>
      <c r="L31">
        <v>4</v>
      </c>
      <c r="M31">
        <v>0</v>
      </c>
      <c r="N31">
        <v>2</v>
      </c>
      <c r="O31">
        <v>4</v>
      </c>
      <c r="P31">
        <v>3</v>
      </c>
      <c r="Q31">
        <v>12</v>
      </c>
      <c r="R31" s="8">
        <f t="shared" si="11"/>
        <v>37</v>
      </c>
      <c r="S31" s="8" t="str">
        <f t="shared" si="12"/>
        <v>6</v>
      </c>
      <c r="T31">
        <v>5</v>
      </c>
      <c r="U31">
        <v>6</v>
      </c>
      <c r="V31">
        <v>3</v>
      </c>
      <c r="W31">
        <v>3</v>
      </c>
      <c r="X31">
        <v>2</v>
      </c>
      <c r="Y31">
        <v>9</v>
      </c>
      <c r="Z31" s="9">
        <f t="shared" si="25"/>
        <v>28</v>
      </c>
      <c r="AA31" s="9" t="str">
        <f t="shared" si="26"/>
        <v>7</v>
      </c>
      <c r="AB31" s="10">
        <f t="shared" si="27"/>
        <v>153</v>
      </c>
      <c r="AC31" s="10" t="str">
        <f t="shared" si="28"/>
        <v>7</v>
      </c>
      <c r="AD31" s="11"/>
      <c r="AE31">
        <f t="shared" si="8"/>
        <v>76.5</v>
      </c>
    </row>
    <row r="32" spans="1:31" ht="15" customHeight="1">
      <c r="G32" s="7">
        <f t="shared" si="9"/>
        <v>0</v>
      </c>
      <c r="H32" s="7" t="str">
        <f t="shared" si="10"/>
        <v>U</v>
      </c>
      <c r="I32" s="18"/>
      <c r="R32" s="8">
        <f t="shared" si="11"/>
        <v>0</v>
      </c>
      <c r="S32" s="8" t="str">
        <f t="shared" si="12"/>
        <v>U</v>
      </c>
    </row>
    <row r="50" spans="29:29">
      <c r="AC50" s="14"/>
    </row>
  </sheetData>
  <mergeCells count="4">
    <mergeCell ref="C1:H1"/>
    <mergeCell ref="J1:S1"/>
    <mergeCell ref="T1:AA1"/>
    <mergeCell ref="AB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4DDE-AE4D-4F1E-8B26-9F515C8E7D25}">
  <dimension ref="A1:F11"/>
  <sheetViews>
    <sheetView workbookViewId="0">
      <selection activeCell="F3" sqref="F3:F11"/>
    </sheetView>
  </sheetViews>
  <sheetFormatPr defaultRowHeight="14.45"/>
  <sheetData>
    <row r="1" spans="1:6">
      <c r="B1" t="s">
        <v>82</v>
      </c>
      <c r="C1" t="s">
        <v>83</v>
      </c>
      <c r="D1" t="s">
        <v>84</v>
      </c>
      <c r="E1" t="s">
        <v>85</v>
      </c>
    </row>
    <row r="2" spans="1:6">
      <c r="B2" s="15">
        <v>2023</v>
      </c>
      <c r="C2" s="15">
        <v>2024</v>
      </c>
      <c r="D2" s="15">
        <v>2024</v>
      </c>
      <c r="E2" s="15"/>
    </row>
    <row r="3" spans="1:6">
      <c r="A3">
        <v>9</v>
      </c>
      <c r="B3" s="15">
        <v>84</v>
      </c>
      <c r="C3" s="15">
        <v>45</v>
      </c>
      <c r="D3" s="15">
        <v>34</v>
      </c>
      <c r="E3" s="15">
        <f t="shared" ref="E3:E11" si="0">SUM(B3,C3,D3)</f>
        <v>163</v>
      </c>
      <c r="F3">
        <f>E3/2</f>
        <v>81.5</v>
      </c>
    </row>
    <row r="4" spans="1:6">
      <c r="A4">
        <v>8</v>
      </c>
      <c r="B4" s="15">
        <v>78</v>
      </c>
      <c r="C4" s="15">
        <v>39</v>
      </c>
      <c r="D4" s="15">
        <v>29</v>
      </c>
      <c r="E4" s="15">
        <f t="shared" si="0"/>
        <v>146</v>
      </c>
      <c r="F4">
        <f t="shared" ref="F4:F11" si="1">E4/2</f>
        <v>73</v>
      </c>
    </row>
    <row r="5" spans="1:6">
      <c r="A5">
        <v>7</v>
      </c>
      <c r="B5" s="15">
        <v>71</v>
      </c>
      <c r="C5" s="15">
        <v>34</v>
      </c>
      <c r="D5" s="15">
        <v>24</v>
      </c>
      <c r="E5" s="15">
        <f t="shared" si="0"/>
        <v>129</v>
      </c>
      <c r="F5">
        <f t="shared" si="1"/>
        <v>64.5</v>
      </c>
    </row>
    <row r="6" spans="1:6">
      <c r="A6">
        <v>6</v>
      </c>
      <c r="B6" s="15">
        <v>61</v>
      </c>
      <c r="C6" s="15">
        <v>30</v>
      </c>
      <c r="D6" s="15">
        <v>22</v>
      </c>
      <c r="E6" s="15">
        <f t="shared" si="0"/>
        <v>113</v>
      </c>
      <c r="F6">
        <f t="shared" si="1"/>
        <v>56.5</v>
      </c>
    </row>
    <row r="7" spans="1:6">
      <c r="A7">
        <v>5</v>
      </c>
      <c r="B7" s="15">
        <v>50</v>
      </c>
      <c r="C7" s="15">
        <v>26</v>
      </c>
      <c r="D7" s="15">
        <v>20</v>
      </c>
      <c r="E7" s="15">
        <f t="shared" si="0"/>
        <v>96</v>
      </c>
      <c r="F7">
        <f t="shared" si="1"/>
        <v>48</v>
      </c>
    </row>
    <row r="8" spans="1:6">
      <c r="A8">
        <v>4</v>
      </c>
      <c r="B8" s="15">
        <v>40</v>
      </c>
      <c r="C8" s="15">
        <v>22</v>
      </c>
      <c r="D8" s="15">
        <v>17</v>
      </c>
      <c r="E8" s="15">
        <f t="shared" si="0"/>
        <v>79</v>
      </c>
      <c r="F8">
        <f t="shared" si="1"/>
        <v>39.5</v>
      </c>
    </row>
    <row r="9" spans="1:6">
      <c r="A9">
        <v>3</v>
      </c>
      <c r="B9" s="15">
        <v>30</v>
      </c>
      <c r="C9" s="15">
        <v>19</v>
      </c>
      <c r="D9" s="15">
        <v>14</v>
      </c>
      <c r="E9" s="15">
        <f t="shared" si="0"/>
        <v>63</v>
      </c>
      <c r="F9">
        <f t="shared" si="1"/>
        <v>31.5</v>
      </c>
    </row>
    <row r="10" spans="1:6">
      <c r="A10">
        <v>2</v>
      </c>
      <c r="B10" s="15">
        <v>20</v>
      </c>
      <c r="C10" s="15">
        <v>14</v>
      </c>
      <c r="D10" s="15">
        <v>12</v>
      </c>
      <c r="E10" s="15">
        <f t="shared" si="0"/>
        <v>46</v>
      </c>
      <c r="F10">
        <f t="shared" si="1"/>
        <v>23</v>
      </c>
    </row>
    <row r="11" spans="1:6">
      <c r="A11">
        <v>1</v>
      </c>
      <c r="B11" s="15">
        <v>10</v>
      </c>
      <c r="C11" s="15">
        <v>9</v>
      </c>
      <c r="D11" s="15">
        <v>10</v>
      </c>
      <c r="E11" s="15">
        <f t="shared" si="0"/>
        <v>29</v>
      </c>
      <c r="F11">
        <f t="shared" si="1"/>
        <v>14.5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11fad-e941-47dd-a958-fc9328189373" xsi:nil="true"/>
    <be0f2a9c122243bd87519536cd9093df xmlns="43311fad-e941-47dd-a958-fc9328189373">
      <Terms xmlns="http://schemas.microsoft.com/office/infopath/2007/PartnerControls"/>
    </be0f2a9c122243bd87519536cd9093df>
    <KeyStage xmlns="43311fad-e941-47dd-a958-fc9328189373" xsi:nil="true"/>
    <ad114e4a5a92420697ae84e86f040ec7 xmlns="43311fad-e941-47dd-a958-fc9328189373">
      <Terms xmlns="http://schemas.microsoft.com/office/infopath/2007/PartnerControls"/>
    </ad114e4a5a92420697ae84e86f040ec7>
    <Lesson xmlns="43311fad-e941-47dd-a958-fc9328189373" xsi:nil="true"/>
    <Year xmlns="43311fad-e941-47dd-a958-fc9328189373" xsi:nil="true"/>
    <CustomTags xmlns="43311fad-e941-47dd-a958-fc9328189373" xsi:nil="true"/>
    <PersonalIdentificationData xmlns="43311fad-e941-47dd-a958-fc9328189373" xsi:nil="true"/>
    <c085fe45ef56454a8fe02bbd2289f544 xmlns="43311fad-e941-47dd-a958-fc9328189373">
      <Terms xmlns="http://schemas.microsoft.com/office/infopath/2007/PartnerControls"/>
    </c085fe45ef56454a8fe02bbd2289f544>
    <kb72a3aabe96467e90796440673f94f8 xmlns="43311fad-e941-47dd-a958-fc9328189373">
      <Terms xmlns="http://schemas.microsoft.com/office/infopath/2007/PartnerControls"/>
    </kb72a3aabe96467e90796440673f94f8>
    <c27aef2aa0f046ab9a25d6681686f20a xmlns="43311fad-e941-47dd-a958-fc9328189373">
      <Terms xmlns="http://schemas.microsoft.com/office/infopath/2007/PartnerControls"/>
    </c27aef2aa0f046ab9a25d6681686f20a>
    <CurriculumSubject xmlns="43311fad-e941-47dd-a958-fc9328189373">Latin</CurriculumSubject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5C0C81859BB4186CA4CA7B1E7CAF6" ma:contentTypeVersion="21" ma:contentTypeDescription="Create a new document." ma:contentTypeScope="" ma:versionID="31f62c6c48ec0a2371b897b34479bd77">
  <xsd:schema xmlns:xsd="http://www.w3.org/2001/XMLSchema" xmlns:xs="http://www.w3.org/2001/XMLSchema" xmlns:p="http://schemas.microsoft.com/office/2006/metadata/properties" xmlns:ns2="43311fad-e941-47dd-a958-fc9328189373" xmlns:ns3="4e9a2dc1-b9ba-4197-a2ed-8c02e99493a5" targetNamespace="http://schemas.microsoft.com/office/2006/metadata/properties" ma:root="true" ma:fieldsID="1ff47cd36cc602b4fe7113fb87ceda3e" ns2:_="" ns3:_="">
    <xsd:import namespace="43311fad-e941-47dd-a958-fc9328189373"/>
    <xsd:import namespace="4e9a2dc1-b9ba-4197-a2ed-8c02e99493a5"/>
    <xsd:element name="properties">
      <xsd:complexType>
        <xsd:sequence>
          <xsd:element name="documentManagement">
            <xsd:complexType>
              <xsd:all>
                <xsd:element ref="ns2:kb72a3aabe96467e90796440673f94f8" minOccurs="0"/>
                <xsd:element ref="ns2:TaxCatchAll" minOccurs="0"/>
                <xsd:element ref="ns2:c085fe45ef56454a8fe02bbd2289f544" minOccurs="0"/>
                <xsd:element ref="ns2:ad114e4a5a92420697ae84e86f040ec7" minOccurs="0"/>
                <xsd:element ref="ns2:c27aef2aa0f046ab9a25d6681686f20a" minOccurs="0"/>
                <xsd:element ref="ns2:be0f2a9c122243bd87519536cd9093df" minOccurs="0"/>
                <xsd:element ref="ns2:PersonalIdentificationData" minOccurs="0"/>
                <xsd:element ref="ns2:KeyStage" minOccurs="0"/>
                <xsd:element ref="ns2:Year" minOccurs="0"/>
                <xsd:element ref="ns2:Lesson" minOccurs="0"/>
                <xsd:element ref="ns2:CustomTags" minOccurs="0"/>
                <xsd:element ref="ns2:CurriculumSubjec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11fad-e941-47dd-a958-fc9328189373" elementFormDefault="qualified">
    <xsd:import namespace="http://schemas.microsoft.com/office/2006/documentManagement/types"/>
    <xsd:import namespace="http://schemas.microsoft.com/office/infopath/2007/PartnerControls"/>
    <xsd:element name="kb72a3aabe96467e90796440673f94f8" ma:index="9" nillable="true" ma:taxonomy="true" ma:internalName="kb72a3aabe96467e90796440673f94f8" ma:taxonomyFieldName="Topic" ma:displayName="Topic" ma:fieldId="{4b72a3aa-be96-467e-9079-6440673f94f8}" ma:sspId="1cf5dd60-7792-4f01-96d1-e079da7b2a02" ma:termSetId="b8e30f52-64ef-471c-8763-d6f44a3766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dc58c999-0fd8-4743-89fc-8ee153ad6c9e}" ma:internalName="TaxCatchAll" ma:showField="CatchAllData" ma:web="43311fad-e941-47dd-a958-fc93281893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085fe45ef56454a8fe02bbd2289f544" ma:index="12" nillable="true" ma:taxonomy="true" ma:internalName="c085fe45ef56454a8fe02bbd2289f544" ma:taxonomyFieldName="Staff_x0020_Category" ma:displayName="Staff Category" ma:fieldId="{c085fe45-ef56-454a-8fe0-2bbd2289f544}" ma:sspId="1cf5dd60-7792-4f01-96d1-e079da7b2a02" ma:termSetId="77d6b42e-568e-49ff-b189-00620863408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114e4a5a92420697ae84e86f040ec7" ma:index="14" nillable="true" ma:taxonomy="true" ma:internalName="ad114e4a5a92420697ae84e86f040ec7" ma:taxonomyFieldName="Exam_x0020_Board" ma:displayName="Exam Board" ma:fieldId="{ad114e4a-5a92-4206-97ae-84e86f040ec7}" ma:sspId="1cf5dd60-7792-4f01-96d1-e079da7b2a02" ma:termSetId="73a470b6-6fad-45b1-ad65-0e16f02e9c5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7aef2aa0f046ab9a25d6681686f20a" ma:index="16" nillable="true" ma:taxonomy="true" ma:internalName="c27aef2aa0f046ab9a25d6681686f20a" ma:taxonomyFieldName="Week" ma:displayName="Week" ma:fieldId="{c27aef2a-a0f0-46ab-9a25-d6681686f20a}" ma:sspId="1cf5dd60-7792-4f01-96d1-e079da7b2a02" ma:termSetId="17dfb337-e261-4337-9199-8eecabbe4ee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e0f2a9c122243bd87519536cd9093df" ma:index="18" nillable="true" ma:taxonomy="true" ma:internalName="be0f2a9c122243bd87519536cd9093df" ma:taxonomyFieldName="Term" ma:displayName="Term" ma:fieldId="{be0f2a9c-1222-43bd-8751-9536cd9093df}" ma:sspId="1cf5dd60-7792-4f01-96d1-e079da7b2a02" ma:termSetId="7eeb6708-7deb-4fe3-a046-69167107cb1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rsonalIdentificationData" ma:index="19" nillable="true" ma:displayName="Personal Identification Data" ma:internalName="Personal_x0020_Identification_x0020_Data">
      <xsd:simpleType>
        <xsd:restriction base="dms:Choice">
          <xsd:enumeration value="No"/>
          <xsd:enumeration value="Yes"/>
        </xsd:restriction>
      </xsd:simpleType>
    </xsd:element>
    <xsd:element name="KeyStage" ma:index="20" nillable="true" ma:displayName="Key Stage" ma:internalName="Key_x0020_Stage">
      <xsd:simpleType>
        <xsd:restriction base="dms:Text"/>
      </xsd:simpleType>
    </xsd:element>
    <xsd:element name="Year" ma:index="21" nillable="true" ma:displayName="Year" ma:internalName="Year">
      <xsd:simpleType>
        <xsd:restriction base="dms:Text"/>
      </xsd:simpleType>
    </xsd:element>
    <xsd:element name="Lesson" ma:index="22" nillable="true" ma:displayName="Lesson" ma:internalName="Lesson">
      <xsd:simpleType>
        <xsd:restriction base="dms:Text"/>
      </xsd:simpleType>
    </xsd:element>
    <xsd:element name="CustomTags" ma:index="23" nillable="true" ma:displayName="Custom Tags" ma:internalName="Custom_x0020_Tags">
      <xsd:simpleType>
        <xsd:restriction base="dms:Text"/>
      </xsd:simpleType>
    </xsd:element>
    <xsd:element name="CurriculumSubject" ma:index="24" nillable="true" ma:displayName="Curriculum Subject" ma:default="Latin" ma:internalName="Curriculum_x0020_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a2dc1-b9ba-4197-a2ed-8c02e99493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4A692-3540-4CAC-8DE4-355B73475BAD}"/>
</file>

<file path=customXml/itemProps2.xml><?xml version="1.0" encoding="utf-8"?>
<ds:datastoreItem xmlns:ds="http://schemas.openxmlformats.org/officeDocument/2006/customXml" ds:itemID="{9B78502F-7388-4440-889F-F20F2AF8EF96}"/>
</file>

<file path=customXml/itemProps3.xml><?xml version="1.0" encoding="utf-8"?>
<ds:datastoreItem xmlns:ds="http://schemas.openxmlformats.org/officeDocument/2006/customXml" ds:itemID="{7C1A4741-47F1-4605-9EE3-88BD55BB7B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Patrick (PAC)</dc:creator>
  <cp:keywords/>
  <dc:description/>
  <cp:lastModifiedBy>Aisling Bradley (TRI)</cp:lastModifiedBy>
  <cp:revision/>
  <dcterms:created xsi:type="dcterms:W3CDTF">2025-01-17T13:11:28Z</dcterms:created>
  <dcterms:modified xsi:type="dcterms:W3CDTF">2026-03-24T13:06:26Z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0x010100A2B5C0C81859BB4186CA4CA7B1E7CAF6</vt:lpwstr>
  </property>
  <property fmtid="{D5CDD505-2E9C-101B-9397-08002B2CF9AE}" pid="3" name="MediaServiceImageTags">
    <vt:lpwstr/>
  </property>
  <property fmtid="{D5CDD505-2E9C-101B-9397-08002B2CF9AE}" pid="4" name="Exam_x0020_Board">
    <vt:lpwstr/>
  </property>
  <property fmtid="{D5CDD505-2E9C-101B-9397-08002B2CF9AE}" pid="5" name="Topic">
    <vt:lpwstr/>
  </property>
  <property fmtid="{D5CDD505-2E9C-101B-9397-08002B2CF9AE}" pid="6" name="Term">
    <vt:lpwstr/>
  </property>
  <property fmtid="{D5CDD505-2E9C-101B-9397-08002B2CF9AE}" pid="7" name="Week">
    <vt:lpwstr/>
  </property>
  <property fmtid="{D5CDD505-2E9C-101B-9397-08002B2CF9AE}" pid="8" name="Staff_x0020_Category">
    <vt:lpwstr/>
  </property>
  <property fmtid="{D5CDD505-2E9C-101B-9397-08002B2CF9AE}" pid="9" name="Staff Category">
    <vt:lpwstr/>
  </property>
  <property fmtid="{D5CDD505-2E9C-101B-9397-08002B2CF9AE}" pid="10" name="Exam Board">
    <vt:lpwstr/>
  </property>
</Properties>
</file>